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E:\MCTA\S4\Basics\"/>
    </mc:Choice>
  </mc:AlternateContent>
  <xr:revisionPtr revIDLastSave="0" documentId="13_ncr:1_{93A634A6-F421-49F4-A937-B57866FB6CC9}" xr6:coauthVersionLast="47" xr6:coauthVersionMax="47" xr10:uidLastSave="{00000000-0000-0000-0000-000000000000}"/>
  <bookViews>
    <workbookView xWindow="-110" yWindow="-110" windowWidth="19420" windowHeight="10300" activeTab="2" xr2:uid="{00000000-000D-0000-FFFF-FFFF00000000}"/>
  </bookViews>
  <sheets>
    <sheet name="Project schedule" sheetId="11" r:id="rId1"/>
    <sheet name="About" sheetId="12" r:id="rId2"/>
    <sheet name="Sheet1" sheetId="13" r:id="rId3"/>
  </sheets>
  <definedNames>
    <definedName name="_xlnm._FilterDatabase" localSheetId="2" hidden="1">Sheet1!$B$1:$G$80</definedName>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13" l="1"/>
  <c r="F7" i="13"/>
  <c r="F8" i="13"/>
  <c r="F9" i="13"/>
  <c r="F10" i="13"/>
  <c r="F11" i="13"/>
  <c r="F18" i="13"/>
  <c r="E19" i="13" s="1"/>
  <c r="F19" i="13" s="1"/>
  <c r="F47" i="13"/>
  <c r="F69" i="13" s="1"/>
  <c r="F25" i="13"/>
  <c r="F26" i="13"/>
  <c r="F52" i="13"/>
  <c r="E56" i="13" s="1"/>
  <c r="F56" i="13" s="1"/>
  <c r="E61" i="13" s="1"/>
  <c r="F61" i="13" s="1"/>
  <c r="E34" i="13" s="1"/>
  <c r="F34" i="13" s="1"/>
  <c r="F12" i="13"/>
  <c r="F13" i="13"/>
  <c r="F21" i="13"/>
  <c r="E14" i="13" s="1"/>
  <c r="F27" i="13"/>
  <c r="F28" i="13"/>
  <c r="F53" i="13"/>
  <c r="E57" i="13" s="1"/>
  <c r="F57" i="13" s="1"/>
  <c r="E62" i="13" s="1"/>
  <c r="F62" i="13" s="1"/>
  <c r="E35" i="13" s="1"/>
  <c r="F35" i="13" s="1"/>
  <c r="F70" i="13"/>
  <c r="F15" i="13"/>
  <c r="F16" i="13"/>
  <c r="F23" i="13"/>
  <c r="E17" i="13" s="1"/>
  <c r="F17" i="13" s="1"/>
  <c r="F49" i="13"/>
  <c r="F30" i="13"/>
  <c r="F33" i="13"/>
  <c r="F54" i="13"/>
  <c r="E58" i="13" s="1"/>
  <c r="F58" i="13" s="1"/>
  <c r="E63" i="13" s="1"/>
  <c r="F63" i="13" s="1"/>
  <c r="E41" i="13" s="1"/>
  <c r="F41" i="13" s="1"/>
  <c r="E36" i="13" s="1"/>
  <c r="F36" i="13" s="1"/>
  <c r="E67" i="13" s="1"/>
  <c r="F67" i="13" s="1"/>
  <c r="E42" i="13" s="1"/>
  <c r="F71" i="13"/>
  <c r="F50" i="13"/>
  <c r="F51" i="13"/>
  <c r="F59" i="13"/>
  <c r="E55" i="13" s="1"/>
  <c r="F55" i="13" s="1"/>
  <c r="E60" i="13" s="1"/>
  <c r="F60" i="13" s="1"/>
  <c r="F64" i="13"/>
  <c r="F68" i="13"/>
  <c r="F80" i="13"/>
  <c r="F78" i="13"/>
  <c r="F76" i="13"/>
  <c r="F79" i="13"/>
  <c r="F5" i="13"/>
  <c r="E74" i="13" l="1"/>
  <c r="F74" i="13" s="1"/>
  <c r="E46" i="13"/>
  <c r="F46" i="13" s="1"/>
  <c r="F42" i="13"/>
  <c r="E45" i="13"/>
  <c r="F45" i="13" s="1"/>
  <c r="E31" i="13"/>
  <c r="F31" i="13" s="1"/>
  <c r="E65" i="13" s="1"/>
  <c r="E32" i="13"/>
  <c r="F32" i="13" s="1"/>
  <c r="E66" i="13" s="1"/>
  <c r="E2" i="13"/>
  <c r="F2" i="13" s="1"/>
  <c r="E20" i="13" s="1"/>
  <c r="F20" i="13" s="1"/>
  <c r="E43" i="13" s="1"/>
  <c r="F43" i="13" s="1"/>
  <c r="E4" i="13"/>
  <c r="F4" i="13" s="1"/>
  <c r="E24" i="13" s="1"/>
  <c r="F24" i="13" s="1"/>
  <c r="E29" i="13" s="1"/>
  <c r="F29" i="13" s="1"/>
  <c r="H7" i="11"/>
  <c r="F65" i="13" l="1"/>
  <c r="E37" i="13" s="1"/>
  <c r="E38" i="13" s="1"/>
  <c r="F38" i="13" s="1"/>
  <c r="E73" i="13"/>
  <c r="F73" i="13" s="1"/>
  <c r="E75" i="13"/>
  <c r="F75" i="13" s="1"/>
  <c r="F66" i="13"/>
  <c r="E39" i="13" s="1"/>
  <c r="F39" i="13" s="1"/>
  <c r="E77" i="13"/>
  <c r="Q1" i="11"/>
  <c r="E9" i="11" s="1"/>
  <c r="E21" i="11" s="1"/>
  <c r="F77" i="13" l="1"/>
  <c r="E72" i="13"/>
  <c r="F72" i="13" s="1"/>
  <c r="E40" i="13"/>
  <c r="F40" i="13"/>
  <c r="F48" i="13" s="1"/>
  <c r="F21" i="11"/>
  <c r="E22" i="11" s="1"/>
  <c r="E23" i="11" s="1"/>
  <c r="E27" i="11"/>
  <c r="F9" i="11"/>
  <c r="E10" i="11" s="1"/>
  <c r="I5" i="11"/>
  <c r="H33" i="11"/>
  <c r="H32" i="11"/>
  <c r="H26" i="11"/>
  <c r="H20" i="11"/>
  <c r="H14" i="11"/>
  <c r="H8" i="11"/>
  <c r="H21" i="11" l="1"/>
  <c r="F22" i="11"/>
  <c r="H22" i="11" s="1"/>
  <c r="F27" i="11"/>
  <c r="E28" i="11" s="1"/>
  <c r="E30" i="11"/>
  <c r="E31" i="11"/>
  <c r="H9" i="11"/>
  <c r="F23" i="11"/>
  <c r="E25" i="11"/>
  <c r="F10" i="11"/>
  <c r="E11" i="11" s="1"/>
  <c r="E13" i="11"/>
  <c r="E15" i="11" s="1"/>
  <c r="E16" i="11" s="1"/>
  <c r="I6" i="11"/>
  <c r="F31" i="11" l="1"/>
  <c r="H31" i="11" s="1"/>
  <c r="F28" i="11"/>
  <c r="E29" i="11" s="1"/>
  <c r="F30" i="11"/>
  <c r="H30" i="11" s="1"/>
  <c r="H27" i="11"/>
  <c r="F25" i="11"/>
  <c r="H25" i="11" s="1"/>
  <c r="H10" i="11"/>
  <c r="E24" i="11"/>
  <c r="H23" i="11"/>
  <c r="F16" i="11"/>
  <c r="F15" i="11"/>
  <c r="H15" i="11" s="1"/>
  <c r="F13" i="11"/>
  <c r="H13" i="11" s="1"/>
  <c r="F11" i="11"/>
  <c r="E12" i="11" s="1"/>
  <c r="J5" i="11"/>
  <c r="K5" i="11" s="1"/>
  <c r="L5" i="11" s="1"/>
  <c r="M5" i="11" s="1"/>
  <c r="N5" i="11" s="1"/>
  <c r="O5" i="11" s="1"/>
  <c r="P5" i="11" s="1"/>
  <c r="I4" i="11"/>
  <c r="H28" i="11" l="1"/>
  <c r="F29" i="11"/>
  <c r="H29" i="11" s="1"/>
  <c r="F24" i="11"/>
  <c r="H24" i="11" s="1"/>
  <c r="H16" i="11"/>
  <c r="E17" i="11"/>
  <c r="E18" i="11" s="1"/>
  <c r="E19" i="11" s="1"/>
  <c r="H11" i="11"/>
  <c r="F12" i="11"/>
  <c r="H12" i="11" s="1"/>
  <c r="P4" i="11"/>
  <c r="Q5" i="11"/>
  <c r="R5" i="11" s="1"/>
  <c r="S5" i="11" s="1"/>
  <c r="T5" i="11" s="1"/>
  <c r="U5" i="11" s="1"/>
  <c r="V5" i="11" s="1"/>
  <c r="W5" i="11" s="1"/>
  <c r="J6" i="11"/>
  <c r="F19" i="11" l="1"/>
  <c r="H19" i="11" s="1"/>
  <c r="F18" i="11"/>
  <c r="H18" i="11" s="1"/>
  <c r="F17" i="11"/>
  <c r="H17"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 r="F37" i="13" l="1"/>
  <c r="F14" i="13"/>
  <c r="E3" i="13" s="1"/>
  <c r="F3" i="13" s="1"/>
  <c r="E22" i="13" s="1"/>
  <c r="F22" i="13" s="1"/>
  <c r="E44" i="13" s="1"/>
  <c r="F44" i="13" s="1"/>
</calcChain>
</file>

<file path=xl/sharedStrings.xml><?xml version="1.0" encoding="utf-8"?>
<sst xmlns="http://schemas.openxmlformats.org/spreadsheetml/2006/main" count="395" uniqueCount="155">
  <si>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</si>
  <si>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</si>
  <si>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</si>
  <si>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</si>
  <si>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</si>
  <si>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</si>
  <si>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</si>
  <si>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</si>
  <si>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</si>
  <si>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</si>
  <si>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</si>
  <si>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</si>
  <si>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</si>
  <si>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</si>
  <si>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</si>
  <si>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</si>
  <si>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</si>
  <si>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</si>
  <si>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</si>
  <si>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</si>
  <si>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</si>
  <si>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VanArsdel, Ltd.</t>
  </si>
  <si>
    <t>Project lead</t>
  </si>
  <si>
    <t>Europa project</t>
  </si>
  <si>
    <t>Gokce Aslan</t>
  </si>
  <si>
    <t>Hayden Cook</t>
  </si>
  <si>
    <t>Jens Martensson</t>
  </si>
  <si>
    <t>Nuria Acevedo</t>
  </si>
  <si>
    <t>Olivia Wilson</t>
  </si>
  <si>
    <t>Initiation</t>
  </si>
  <si>
    <t>Define goals</t>
  </si>
  <si>
    <t>Conduct studies</t>
  </si>
  <si>
    <t>Establish comms</t>
  </si>
  <si>
    <t>Develop charter</t>
  </si>
  <si>
    <t>Set up team</t>
  </si>
  <si>
    <t>Planning and design</t>
  </si>
  <si>
    <t>Create schedule</t>
  </si>
  <si>
    <t>Identify deliverables</t>
  </si>
  <si>
    <t>Develop budget</t>
  </si>
  <si>
    <t>Define scope</t>
  </si>
  <si>
    <t>Identify risks</t>
  </si>
  <si>
    <t>Execution</t>
  </si>
  <si>
    <t>Execute tasks</t>
  </si>
  <si>
    <t>Monitor progress</t>
  </si>
  <si>
    <t>Manage resources</t>
  </si>
  <si>
    <t>Provide updates</t>
  </si>
  <si>
    <t>Testing and validation</t>
  </si>
  <si>
    <t>Track expenses</t>
  </si>
  <si>
    <t>Evaluate progress</t>
  </si>
  <si>
    <t>Address risks</t>
  </si>
  <si>
    <t>Gather feedback</t>
  </si>
  <si>
    <t>Project start:</t>
  </si>
  <si>
    <t>Display week:</t>
  </si>
  <si>
    <t>ASSIGNED TO</t>
  </si>
  <si>
    <t>Evaluation</t>
  </si>
  <si>
    <t>Task</t>
  </si>
  <si>
    <t>Start</t>
  </si>
  <si>
    <t>Duration</t>
  </si>
  <si>
    <t>End</t>
  </si>
  <si>
    <t>PDS</t>
  </si>
  <si>
    <t>Gantt chart</t>
  </si>
  <si>
    <t>Target Audience Research</t>
  </si>
  <si>
    <t>Bluetooth Integration</t>
  </si>
  <si>
    <t>Inter-MCU Communication</t>
  </si>
  <si>
    <t>Overall Testing</t>
  </si>
  <si>
    <t>Technical Report</t>
  </si>
  <si>
    <t>Presentation</t>
  </si>
  <si>
    <t>Toy Theme Research and Generation</t>
  </si>
  <si>
    <t>Toy Idea Research and Generation</t>
  </si>
  <si>
    <t>Drafting Mechanism Design – Shooting</t>
  </si>
  <si>
    <t>Motor Type Selection – Shooting</t>
  </si>
  <si>
    <t>Inventor Mechanical Design – Shooting</t>
  </si>
  <si>
    <t>Mechanism Calculations – Shooting</t>
  </si>
  <si>
    <t>Actuator Sizing – Shooting</t>
  </si>
  <si>
    <t>Material Selection – Shooting</t>
  </si>
  <si>
    <t>Mechanical Parts Fabrication – Shooting</t>
  </si>
  <si>
    <t>Circuit Design on Proteus – Shooting</t>
  </si>
  <si>
    <t>Battery Sizing – Shooting</t>
  </si>
  <si>
    <t>Mechanism Current Consumption – Shooting</t>
  </si>
  <si>
    <t>Wiring Electronic Components – Shooting</t>
  </si>
  <si>
    <t>Microcontroller Selection – Shooting</t>
  </si>
  <si>
    <t>Sensor Selection – Shooting</t>
  </si>
  <si>
    <t>Sensors Calibrations – Shooting</t>
  </si>
  <si>
    <t>Components Testing – Shooting</t>
  </si>
  <si>
    <t>Control Algorithm Design – Shooting</t>
  </si>
  <si>
    <t>Mechanism Flowcharts and Block Diagram – Shooting</t>
  </si>
  <si>
    <t>Embedded Software Deployment – Shooting</t>
  </si>
  <si>
    <t>Overall Mechanism Testing – Shooting</t>
  </si>
  <si>
    <t>Drafting Mechanism Design – Lifting</t>
  </si>
  <si>
    <t>Motor Type Selection – Lifting</t>
  </si>
  <si>
    <t>Inventor Mechanical Design – Lifting</t>
  </si>
  <si>
    <t>Mechanism Calculations – Lifting</t>
  </si>
  <si>
    <t>Actuator Sizing – Lifting</t>
  </si>
  <si>
    <t>Material Selection – Lifting</t>
  </si>
  <si>
    <t>Mechanical Parts Fabrication – Lifting</t>
  </si>
  <si>
    <t>Circuit Design on Proteus – Lifting</t>
  </si>
  <si>
    <t>Battery Sizing – Lifting</t>
  </si>
  <si>
    <t>Mechanism Current Consumption – Lifting</t>
  </si>
  <si>
    <t>Wiring Electronic Components – Lifting</t>
  </si>
  <si>
    <t>Microcontroller Selection – Lifting</t>
  </si>
  <si>
    <t>Sensors Selection – Lifting</t>
  </si>
  <si>
    <t>Sensor Calibrations – Lifting</t>
  </si>
  <si>
    <t>Components Testing – Lifting</t>
  </si>
  <si>
    <t>Control Algorithm Design – Lifting</t>
  </si>
  <si>
    <t>Mechanism Flowcharts and Block Diagram – Lifting</t>
  </si>
  <si>
    <t>Embedded Software Deployment – Lifting</t>
  </si>
  <si>
    <t>Overall Mechanism Testing – Lifting</t>
  </si>
  <si>
    <t>Drafting Mechanism Design – Sorting</t>
  </si>
  <si>
    <t>Motor Type Selection – Sorting</t>
  </si>
  <si>
    <t>Inventor Mechanical Design – Sorting</t>
  </si>
  <si>
    <t>Mechanism Calculations – Sorting</t>
  </si>
  <si>
    <t>Actuator Sizing – Sorting</t>
  </si>
  <si>
    <t>Material Selection – Sorting</t>
  </si>
  <si>
    <t>Mechanical Parts Fabrication – Sorting</t>
  </si>
  <si>
    <t>Circuit Design on Proteus – Sorting</t>
  </si>
  <si>
    <t>Battery Sizing – Sorting</t>
  </si>
  <si>
    <t>Mechanism Current Consumption – Sorting</t>
  </si>
  <si>
    <t>Wiring Electronic Components – Sorting</t>
  </si>
  <si>
    <t>Microcontroller Selection – Sorting</t>
  </si>
  <si>
    <t>Sensors Selection – Sorting</t>
  </si>
  <si>
    <t>Sensor Calibrations – Sorting</t>
  </si>
  <si>
    <t>Components Testing – Sorting</t>
  </si>
  <si>
    <t>Control Algorithm Design – Sorting</t>
  </si>
  <si>
    <t>Mechanism Flowcharts and Block Diagram – Sorting</t>
  </si>
  <si>
    <t>Embedded Software Deployment – Sorting</t>
  </si>
  <si>
    <t>Overall Mechanism Testing – Sorting</t>
  </si>
  <si>
    <t>LCD interface</t>
  </si>
  <si>
    <t>Processing.io interface</t>
  </si>
  <si>
    <t>User Input Integration</t>
  </si>
  <si>
    <t>PCB Schematic</t>
  </si>
  <si>
    <t>Inter-Mechanism Track Design and Fabrication</t>
  </si>
  <si>
    <t>Wire Casing Design and Fabrication</t>
  </si>
  <si>
    <t>Connection Plugs</t>
  </si>
  <si>
    <t>Start/Stop Buttons</t>
  </si>
  <si>
    <t xml:space="preserve">Overall Current Consumption </t>
  </si>
  <si>
    <t>Distributed Components Testing</t>
  </si>
  <si>
    <t>Filming the Project Video</t>
  </si>
  <si>
    <t>GIT repository</t>
  </si>
  <si>
    <t>Shooting</t>
  </si>
  <si>
    <t>Lifting</t>
  </si>
  <si>
    <t>Sorting</t>
  </si>
  <si>
    <t>Integration</t>
  </si>
  <si>
    <t>Decumentations</t>
  </si>
  <si>
    <t>Mechanism</t>
  </si>
  <si>
    <t>Domain</t>
  </si>
  <si>
    <t>Mechanical</t>
  </si>
  <si>
    <t>All</t>
  </si>
  <si>
    <t>Electrical</t>
  </si>
  <si>
    <t>Team Member</t>
  </si>
  <si>
    <t>Mahmoud</t>
  </si>
  <si>
    <t>Israa</t>
  </si>
  <si>
    <t>Basmala &amp; Seif</t>
  </si>
  <si>
    <t>Mariam</t>
  </si>
  <si>
    <t>Israa &amp; Mahmoud</t>
  </si>
  <si>
    <t>Mariam &amp; Basmala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</si>
</sst>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3"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b/>
      <sz val="11"/>
      <color theme="0"/>
      <name val="Arial"/>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rgb="FFA5A5A5"/>
      </patternFill>
    </fill>
    <fill>
      <patternFill patternType="solid">
        <fgColor theme="9"/>
      </patternFill>
    </fill>
  </fills>
  <borders count="23">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double">
        <color rgb="FF3F3F3F"/>
      </left>
      <right style="double">
        <color rgb="FF3F3F3F"/>
      </right>
      <top style="double">
        <color rgb="FF3F3F3F"/>
      </top>
      <bottom style="double">
        <color rgb="FF3F3F3F"/>
      </bottom>
      <diagonal/>
    </border>
  </borders>
  <cellStyleXfs count="15">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xf numFmtId="0" fontId="32" fillId="13" borderId="22" applyNumberFormat="0" applyAlignment="0" applyProtection="0"/>
    <xf numFmtId="0" fontId="13" fillId="14" borderId="0" applyNumberFormat="0" applyBorder="0" applyAlignment="0" applyProtection="0"/>
  </cellStyleXfs>
  <cellXfs count="124">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14" fontId="0" fillId="0" borderId="0" xfId="0" applyNumberFormat="1" applyAlignment="1">
      <alignment horizontal="center"/>
    </xf>
    <xf numFmtId="0" fontId="13" fillId="14" borderId="0" xfId="14" applyAlignment="1">
      <alignment horizontal="center"/>
    </xf>
    <xf numFmtId="0" fontId="32" fillId="13" borderId="22" xfId="13" applyAlignment="1">
      <alignment horizontal="left"/>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0" fillId="11" borderId="21"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cellXfs>
  <cellStyles count="15">
    <cellStyle name="Accent6" xfId="14" builtinId="49"/>
    <cellStyle name="Check Cell" xfId="13" builtinId="2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000000"/>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r>
              <a:rPr lang="en-US">
                <a:solidFill>
                  <a:srgbClr val="000000"/>
                </a:solidFill>
              </a:rPr>
              <a:t>Gantt Chart</a:t>
            </a:r>
          </a:p>
        </c:rich>
      </c:tx>
      <c:layout>
        <c:manualLayout>
          <c:xMode val="edge"/>
          <c:yMode val="edge"/>
          <c:x val="0.46818401946810873"/>
          <c:y val="9.553784529166607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endParaRPr lang="en-US"/>
        </a:p>
      </c:txPr>
    </c:title>
    <c:autoTitleDeleted val="0"/>
    <c:plotArea>
      <c:layout/>
      <c:barChart>
        <c:barDir val="bar"/>
        <c:grouping val="stacked"/>
        <c:varyColors val="0"/>
        <c:ser>
          <c:idx val="0"/>
          <c:order val="0"/>
          <c:tx>
            <c:strRef>
              <c:f>Sheet1!$E$1</c:f>
              <c:strCache>
                <c:ptCount val="1"/>
                <c:pt idx="0">
                  <c:v>Start</c:v>
                </c:pt>
              </c:strCache>
            </c:strRef>
          </c:tx>
          <c:spPr>
            <a:noFill/>
            <a:ln>
              <a:noFill/>
            </a:ln>
            <a:effectLst/>
          </c:spPr>
          <c:invertIfNegative val="0"/>
          <c:cat>
            <c:strRef>
              <c:f>Sheet1!$D$2:$D$80</c:f>
              <c:strCache>
                <c:ptCount val="79"/>
                <c:pt idx="0">
                  <c:v>Inventor Mechanical Design – Shooting</c:v>
                </c:pt>
                <c:pt idx="1">
                  <c:v>Inventor Mechanical Design – Lifting</c:v>
                </c:pt>
                <c:pt idx="2">
                  <c:v>Inventor Mechanical Design – Sorting</c:v>
                </c:pt>
                <c:pt idx="3">
                  <c:v>Toy Theme Research and Generation</c:v>
                </c:pt>
                <c:pt idx="4">
                  <c:v>Toy Idea Research and Generation</c:v>
                </c:pt>
                <c:pt idx="5">
                  <c:v>Target Audience Research</c:v>
                </c:pt>
                <c:pt idx="6">
                  <c:v>PDS</c:v>
                </c:pt>
                <c:pt idx="7">
                  <c:v>Gantt chart</c:v>
                </c:pt>
                <c:pt idx="8">
                  <c:v>Drafting Mechanism Design – Shooting</c:v>
                </c:pt>
                <c:pt idx="9">
                  <c:v>Motor Type Selection – Shooting</c:v>
                </c:pt>
                <c:pt idx="10">
                  <c:v>Drafting Mechanism Design – Lifting</c:v>
                </c:pt>
                <c:pt idx="11">
                  <c:v>Motor Type Selection – Lifting</c:v>
                </c:pt>
                <c:pt idx="12">
                  <c:v>Actuator Sizing – Lifting</c:v>
                </c:pt>
                <c:pt idx="13">
                  <c:v>Drafting Mechanism Design – Sorting</c:v>
                </c:pt>
                <c:pt idx="14">
                  <c:v>Motor Type Selection – Sorting</c:v>
                </c:pt>
                <c:pt idx="15">
                  <c:v>Actuator Sizing – Sorting</c:v>
                </c:pt>
                <c:pt idx="16">
                  <c:v>Mechanism Calculations – Shooting</c:v>
                </c:pt>
                <c:pt idx="17">
                  <c:v>Actuator Sizing – Shooting</c:v>
                </c:pt>
                <c:pt idx="18">
                  <c:v>Material Selection – Shooting</c:v>
                </c:pt>
                <c:pt idx="19">
                  <c:v>Mechanism Calculations – Lifting</c:v>
                </c:pt>
                <c:pt idx="20">
                  <c:v>Material Selection – Lifting</c:v>
                </c:pt>
                <c:pt idx="21">
                  <c:v>Mechanism Calculations – Sorting</c:v>
                </c:pt>
                <c:pt idx="22">
                  <c:v>Material Selection – Sorting</c:v>
                </c:pt>
                <c:pt idx="23">
                  <c:v>Microcontroller Selection – Shooting</c:v>
                </c:pt>
                <c:pt idx="24">
                  <c:v>Sensor Selection – Shooting</c:v>
                </c:pt>
                <c:pt idx="25">
                  <c:v>Microcontroller Selection – Lifting</c:v>
                </c:pt>
                <c:pt idx="26">
                  <c:v>Sensors Selection – Lifting</c:v>
                </c:pt>
                <c:pt idx="27">
                  <c:v>Mechanical Parts Fabrication – Sorting</c:v>
                </c:pt>
                <c:pt idx="28">
                  <c:v>Microcontroller Selection – Sorting</c:v>
                </c:pt>
                <c:pt idx="29">
                  <c:v>Circuit Design on Proteus – Shooting</c:v>
                </c:pt>
                <c:pt idx="30">
                  <c:v>Circuit Design on Proteus – Lifting</c:v>
                </c:pt>
                <c:pt idx="31">
                  <c:v>Sensors Selection – Sorting</c:v>
                </c:pt>
                <c:pt idx="32">
                  <c:v>Mechanism Flowcharts and Block Diagram – Shooting</c:v>
                </c:pt>
                <c:pt idx="33">
                  <c:v>Mechanism Flowcharts and Block Diagram – Lifting</c:v>
                </c:pt>
                <c:pt idx="34">
                  <c:v>Circuit Design on Proteus – Sorting</c:v>
                </c:pt>
                <c:pt idx="35">
                  <c:v>Battery Sizing – Shooting</c:v>
                </c:pt>
                <c:pt idx="36">
                  <c:v>Mechanism Current Consumption – Shooting</c:v>
                </c:pt>
                <c:pt idx="37">
                  <c:v>Battery Sizing – Lifting</c:v>
                </c:pt>
                <c:pt idx="38">
                  <c:v>Mechanism Current Consumption – Lifting</c:v>
                </c:pt>
                <c:pt idx="39">
                  <c:v>Mechanism Flowcharts and Block Diagram – Sorting</c:v>
                </c:pt>
                <c:pt idx="40">
                  <c:v>Battery Sizing – Sorting</c:v>
                </c:pt>
                <c:pt idx="41">
                  <c:v>Mechanical Parts Fabrication – Shooting</c:v>
                </c:pt>
                <c:pt idx="42">
                  <c:v>Mechanical Parts Fabrication – Lifting</c:v>
                </c:pt>
                <c:pt idx="43">
                  <c:v>Mechanism Current Consumption – Sorting</c:v>
                </c:pt>
                <c:pt idx="44">
                  <c:v>PCB Schematic</c:v>
                </c:pt>
                <c:pt idx="45">
                  <c:v>Wiring Electronic Components – Shooting</c:v>
                </c:pt>
                <c:pt idx="46">
                  <c:v>Wiring Electronic Components – Lifting</c:v>
                </c:pt>
                <c:pt idx="47">
                  <c:v>Wiring Electronic Components – Sorting</c:v>
                </c:pt>
                <c:pt idx="48">
                  <c:v>Inter-Mechanism Track Design and Fabrication</c:v>
                </c:pt>
                <c:pt idx="49">
                  <c:v>Wire Casing Design and Fabrication</c:v>
                </c:pt>
                <c:pt idx="50">
                  <c:v>Sensors Calibrations – Shooting</c:v>
                </c:pt>
                <c:pt idx="51">
                  <c:v>Sensor Calibrations – Lifting</c:v>
                </c:pt>
                <c:pt idx="52">
                  <c:v>Sensor Calibrations – Sorting</c:v>
                </c:pt>
                <c:pt idx="53">
                  <c:v>Connection Plugs</c:v>
                </c:pt>
                <c:pt idx="54">
                  <c:v>Components Testing – Shooting</c:v>
                </c:pt>
                <c:pt idx="55">
                  <c:v>Components Testing – Lifting</c:v>
                </c:pt>
                <c:pt idx="56">
                  <c:v>Components Testing – Sorting</c:v>
                </c:pt>
                <c:pt idx="57">
                  <c:v>Start/Stop Buttons</c:v>
                </c:pt>
                <c:pt idx="58">
                  <c:v>Overall Current Consumption </c:v>
                </c:pt>
                <c:pt idx="59">
                  <c:v>Control Algorithm Design – Shooting</c:v>
                </c:pt>
                <c:pt idx="60">
                  <c:v>Control Algorithm Design – Lifting</c:v>
                </c:pt>
                <c:pt idx="61">
                  <c:v>Control Algorithm Design – Sorting</c:v>
                </c:pt>
                <c:pt idx="62">
                  <c:v>Distributed Components Testing</c:v>
                </c:pt>
                <c:pt idx="63">
                  <c:v>Embedded Software Deployment – Shooting</c:v>
                </c:pt>
                <c:pt idx="64">
                  <c:v>Embedded Software Deployment – Lifting</c:v>
                </c:pt>
                <c:pt idx="65">
                  <c:v>Embedded Software Deployment – Sorting</c:v>
                </c:pt>
                <c:pt idx="66">
                  <c:v>Overall Testing</c:v>
                </c:pt>
                <c:pt idx="67">
                  <c:v>Overall Mechanism Testing – Shooting</c:v>
                </c:pt>
                <c:pt idx="68">
                  <c:v>Overall Mechanism Testing – Lifting</c:v>
                </c:pt>
                <c:pt idx="69">
                  <c:v>Overall Mechanism Testing – Sorting</c:v>
                </c:pt>
                <c:pt idx="70">
                  <c:v>User Input Integration</c:v>
                </c:pt>
                <c:pt idx="71">
                  <c:v>Inter-MCU Communication</c:v>
                </c:pt>
                <c:pt idx="72">
                  <c:v>LCD interface</c:v>
                </c:pt>
                <c:pt idx="73">
                  <c:v>Bluetooth Integration</c:v>
                </c:pt>
                <c:pt idx="74">
                  <c:v>GIT repository</c:v>
                </c:pt>
                <c:pt idx="75">
                  <c:v>Processing.io interface</c:v>
                </c:pt>
                <c:pt idx="76">
                  <c:v>Presentation</c:v>
                </c:pt>
                <c:pt idx="77">
                  <c:v>Technical Report</c:v>
                </c:pt>
                <c:pt idx="78">
                  <c:v>Filming the Project Video</c:v>
                </c:pt>
              </c:strCache>
            </c:strRef>
          </c:cat>
          <c:val>
            <c:numRef>
              <c:f>Sheet1!$E$2:$E$80</c:f>
              <c:numCache>
                <c:formatCode>m/d/yyyy</c:formatCode>
                <c:ptCount val="79"/>
                <c:pt idx="0">
                  <c:v>46094</c:v>
                </c:pt>
                <c:pt idx="1">
                  <c:v>46094</c:v>
                </c:pt>
                <c:pt idx="2">
                  <c:v>46094</c:v>
                </c:pt>
                <c:pt idx="3">
                  <c:v>46062</c:v>
                </c:pt>
                <c:pt idx="4">
                  <c:v>46062</c:v>
                </c:pt>
                <c:pt idx="5">
                  <c:v>46062</c:v>
                </c:pt>
                <c:pt idx="6">
                  <c:v>46069</c:v>
                </c:pt>
                <c:pt idx="7">
                  <c:v>46069</c:v>
                </c:pt>
                <c:pt idx="8">
                  <c:v>46078</c:v>
                </c:pt>
                <c:pt idx="9">
                  <c:v>46078</c:v>
                </c:pt>
                <c:pt idx="10">
                  <c:v>46078</c:v>
                </c:pt>
                <c:pt idx="11">
                  <c:v>46078</c:v>
                </c:pt>
                <c:pt idx="12">
                  <c:v>46092</c:v>
                </c:pt>
                <c:pt idx="13">
                  <c:v>46078</c:v>
                </c:pt>
                <c:pt idx="14">
                  <c:v>46078</c:v>
                </c:pt>
                <c:pt idx="15">
                  <c:v>46092</c:v>
                </c:pt>
                <c:pt idx="16">
                  <c:v>46088</c:v>
                </c:pt>
                <c:pt idx="17">
                  <c:v>46092</c:v>
                </c:pt>
                <c:pt idx="18">
                  <c:v>46101</c:v>
                </c:pt>
                <c:pt idx="19">
                  <c:v>46088</c:v>
                </c:pt>
                <c:pt idx="20">
                  <c:v>46101</c:v>
                </c:pt>
                <c:pt idx="21">
                  <c:v>46088</c:v>
                </c:pt>
                <c:pt idx="22">
                  <c:v>46101</c:v>
                </c:pt>
                <c:pt idx="23">
                  <c:v>46080</c:v>
                </c:pt>
                <c:pt idx="24">
                  <c:v>46080</c:v>
                </c:pt>
                <c:pt idx="25">
                  <c:v>46080</c:v>
                </c:pt>
                <c:pt idx="26">
                  <c:v>46080</c:v>
                </c:pt>
                <c:pt idx="27">
                  <c:v>46103</c:v>
                </c:pt>
                <c:pt idx="28">
                  <c:v>46080</c:v>
                </c:pt>
                <c:pt idx="29">
                  <c:v>46096</c:v>
                </c:pt>
                <c:pt idx="30">
                  <c:v>46096</c:v>
                </c:pt>
                <c:pt idx="31">
                  <c:v>46080</c:v>
                </c:pt>
                <c:pt idx="32">
                  <c:v>46092</c:v>
                </c:pt>
                <c:pt idx="33">
                  <c:v>46092</c:v>
                </c:pt>
                <c:pt idx="34">
                  <c:v>46096</c:v>
                </c:pt>
                <c:pt idx="35">
                  <c:v>46105</c:v>
                </c:pt>
                <c:pt idx="36">
                  <c:v>46105</c:v>
                </c:pt>
                <c:pt idx="37">
                  <c:v>46105</c:v>
                </c:pt>
                <c:pt idx="38">
                  <c:v>46105</c:v>
                </c:pt>
                <c:pt idx="39">
                  <c:v>46092</c:v>
                </c:pt>
                <c:pt idx="40">
                  <c:v>46105</c:v>
                </c:pt>
                <c:pt idx="41">
                  <c:v>46103</c:v>
                </c:pt>
                <c:pt idx="42">
                  <c:v>46103</c:v>
                </c:pt>
                <c:pt idx="43">
                  <c:v>46105</c:v>
                </c:pt>
                <c:pt idx="44">
                  <c:v>46098</c:v>
                </c:pt>
                <c:pt idx="45">
                  <c:v>46115</c:v>
                </c:pt>
                <c:pt idx="46">
                  <c:v>46115</c:v>
                </c:pt>
                <c:pt idx="47">
                  <c:v>46115</c:v>
                </c:pt>
                <c:pt idx="48">
                  <c:v>46123</c:v>
                </c:pt>
                <c:pt idx="49">
                  <c:v>46123</c:v>
                </c:pt>
                <c:pt idx="50">
                  <c:v>46088</c:v>
                </c:pt>
                <c:pt idx="51">
                  <c:v>46088</c:v>
                </c:pt>
                <c:pt idx="52">
                  <c:v>46088</c:v>
                </c:pt>
                <c:pt idx="53">
                  <c:v>46126</c:v>
                </c:pt>
                <c:pt idx="54">
                  <c:v>46089</c:v>
                </c:pt>
                <c:pt idx="55">
                  <c:v>46089</c:v>
                </c:pt>
                <c:pt idx="56">
                  <c:v>46089</c:v>
                </c:pt>
                <c:pt idx="57">
                  <c:v>46123</c:v>
                </c:pt>
                <c:pt idx="58">
                  <c:v>46130</c:v>
                </c:pt>
                <c:pt idx="59">
                  <c:v>46090</c:v>
                </c:pt>
                <c:pt idx="60">
                  <c:v>46090</c:v>
                </c:pt>
                <c:pt idx="61">
                  <c:v>46090</c:v>
                </c:pt>
                <c:pt idx="62">
                  <c:v>46091</c:v>
                </c:pt>
                <c:pt idx="63">
                  <c:v>46098</c:v>
                </c:pt>
                <c:pt idx="64">
                  <c:v>46098</c:v>
                </c:pt>
                <c:pt idx="65">
                  <c:v>46098</c:v>
                </c:pt>
                <c:pt idx="66">
                  <c:v>46042</c:v>
                </c:pt>
                <c:pt idx="67">
                  <c:v>46115</c:v>
                </c:pt>
                <c:pt idx="68">
                  <c:v>46115</c:v>
                </c:pt>
                <c:pt idx="69">
                  <c:v>46115</c:v>
                </c:pt>
                <c:pt idx="70">
                  <c:v>46098</c:v>
                </c:pt>
                <c:pt idx="71">
                  <c:v>46098</c:v>
                </c:pt>
                <c:pt idx="72">
                  <c:v>46098</c:v>
                </c:pt>
                <c:pt idx="73">
                  <c:v>46098</c:v>
                </c:pt>
                <c:pt idx="74">
                  <c:v>46127</c:v>
                </c:pt>
                <c:pt idx="75">
                  <c:v>46098</c:v>
                </c:pt>
                <c:pt idx="76">
                  <c:v>46137</c:v>
                </c:pt>
                <c:pt idx="77">
                  <c:v>46137</c:v>
                </c:pt>
                <c:pt idx="78">
                  <c:v>46141</c:v>
                </c:pt>
              </c:numCache>
            </c:numRef>
          </c:val>
          <c:extLst>
            <c:ext xmlns:c16="http://schemas.microsoft.com/office/drawing/2014/chart" uri="{C3380CC4-5D6E-409C-BE32-E72D297353CC}">
              <c16:uniqueId val="{00000000-0452-4831-9E12-70250AB54655}"/>
            </c:ext>
          </c:extLst>
        </c:ser>
        <c:ser>
          <c:idx val="1"/>
          <c:order val="1"/>
          <c:tx>
            <c:strRef>
              <c:f>Sheet1!$G$1</c:f>
              <c:strCache>
                <c:ptCount val="1"/>
                <c:pt idx="0">
                  <c:v>Duration</c:v>
                </c:pt>
              </c:strCache>
            </c:strRef>
          </c:tx>
          <c:spPr>
            <a:solidFill>
              <a:schemeClr val="tx2">
                <a:lumMod val="75000"/>
                <a:lumOff val="25000"/>
              </a:schemeClr>
            </a:solidFill>
            <a:ln w="15875" cmpd="sng">
              <a:solidFill>
                <a:schemeClr val="tx2">
                  <a:lumMod val="75000"/>
                  <a:lumOff val="25000"/>
                </a:schemeClr>
              </a:solidFill>
            </a:ln>
            <a:effectLst/>
          </c:spPr>
          <c:invertIfNegative val="0"/>
          <c:dPt>
            <c:idx val="9"/>
            <c:invertIfNegative val="0"/>
            <c:bubble3D val="0"/>
            <c:spPr>
              <a:solidFill>
                <a:schemeClr val="tx2">
                  <a:lumMod val="75000"/>
                  <a:lumOff val="25000"/>
                </a:schemeClr>
              </a:solidFill>
              <a:ln w="38100" cmpd="sng">
                <a:solidFill>
                  <a:schemeClr val="tx2">
                    <a:lumMod val="75000"/>
                    <a:lumOff val="25000"/>
                  </a:schemeClr>
                </a:solidFill>
              </a:ln>
              <a:effectLst/>
            </c:spPr>
          </c:dPt>
          <c:cat>
            <c:strRef>
              <c:f>Sheet1!$D$2:$D$80</c:f>
              <c:strCache>
                <c:ptCount val="79"/>
                <c:pt idx="0">
                  <c:v>Inventor Mechanical Design – Shooting</c:v>
                </c:pt>
                <c:pt idx="1">
                  <c:v>Inventor Mechanical Design – Lifting</c:v>
                </c:pt>
                <c:pt idx="2">
                  <c:v>Inventor Mechanical Design – Sorting</c:v>
                </c:pt>
                <c:pt idx="3">
                  <c:v>Toy Theme Research and Generation</c:v>
                </c:pt>
                <c:pt idx="4">
                  <c:v>Toy Idea Research and Generation</c:v>
                </c:pt>
                <c:pt idx="5">
                  <c:v>Target Audience Research</c:v>
                </c:pt>
                <c:pt idx="6">
                  <c:v>PDS</c:v>
                </c:pt>
                <c:pt idx="7">
                  <c:v>Gantt chart</c:v>
                </c:pt>
                <c:pt idx="8">
                  <c:v>Drafting Mechanism Design – Shooting</c:v>
                </c:pt>
                <c:pt idx="9">
                  <c:v>Motor Type Selection – Shooting</c:v>
                </c:pt>
                <c:pt idx="10">
                  <c:v>Drafting Mechanism Design – Lifting</c:v>
                </c:pt>
                <c:pt idx="11">
                  <c:v>Motor Type Selection – Lifting</c:v>
                </c:pt>
                <c:pt idx="12">
                  <c:v>Actuator Sizing – Lifting</c:v>
                </c:pt>
                <c:pt idx="13">
                  <c:v>Drafting Mechanism Design – Sorting</c:v>
                </c:pt>
                <c:pt idx="14">
                  <c:v>Motor Type Selection – Sorting</c:v>
                </c:pt>
                <c:pt idx="15">
                  <c:v>Actuator Sizing – Sorting</c:v>
                </c:pt>
                <c:pt idx="16">
                  <c:v>Mechanism Calculations – Shooting</c:v>
                </c:pt>
                <c:pt idx="17">
                  <c:v>Actuator Sizing – Shooting</c:v>
                </c:pt>
                <c:pt idx="18">
                  <c:v>Material Selection – Shooting</c:v>
                </c:pt>
                <c:pt idx="19">
                  <c:v>Mechanism Calculations – Lifting</c:v>
                </c:pt>
                <c:pt idx="20">
                  <c:v>Material Selection – Lifting</c:v>
                </c:pt>
                <c:pt idx="21">
                  <c:v>Mechanism Calculations – Sorting</c:v>
                </c:pt>
                <c:pt idx="22">
                  <c:v>Material Selection – Sorting</c:v>
                </c:pt>
                <c:pt idx="23">
                  <c:v>Microcontroller Selection – Shooting</c:v>
                </c:pt>
                <c:pt idx="24">
                  <c:v>Sensor Selection – Shooting</c:v>
                </c:pt>
                <c:pt idx="25">
                  <c:v>Microcontroller Selection – Lifting</c:v>
                </c:pt>
                <c:pt idx="26">
                  <c:v>Sensors Selection – Lifting</c:v>
                </c:pt>
                <c:pt idx="27">
                  <c:v>Mechanical Parts Fabrication – Sorting</c:v>
                </c:pt>
                <c:pt idx="28">
                  <c:v>Microcontroller Selection – Sorting</c:v>
                </c:pt>
                <c:pt idx="29">
                  <c:v>Circuit Design on Proteus – Shooting</c:v>
                </c:pt>
                <c:pt idx="30">
                  <c:v>Circuit Design on Proteus – Lifting</c:v>
                </c:pt>
                <c:pt idx="31">
                  <c:v>Sensors Selection – Sorting</c:v>
                </c:pt>
                <c:pt idx="32">
                  <c:v>Mechanism Flowcharts and Block Diagram – Shooting</c:v>
                </c:pt>
                <c:pt idx="33">
                  <c:v>Mechanism Flowcharts and Block Diagram – Lifting</c:v>
                </c:pt>
                <c:pt idx="34">
                  <c:v>Circuit Design on Proteus – Sorting</c:v>
                </c:pt>
                <c:pt idx="35">
                  <c:v>Battery Sizing – Shooting</c:v>
                </c:pt>
                <c:pt idx="36">
                  <c:v>Mechanism Current Consumption – Shooting</c:v>
                </c:pt>
                <c:pt idx="37">
                  <c:v>Battery Sizing – Lifting</c:v>
                </c:pt>
                <c:pt idx="38">
                  <c:v>Mechanism Current Consumption – Lifting</c:v>
                </c:pt>
                <c:pt idx="39">
                  <c:v>Mechanism Flowcharts and Block Diagram – Sorting</c:v>
                </c:pt>
                <c:pt idx="40">
                  <c:v>Battery Sizing – Sorting</c:v>
                </c:pt>
                <c:pt idx="41">
                  <c:v>Mechanical Parts Fabrication – Shooting</c:v>
                </c:pt>
                <c:pt idx="42">
                  <c:v>Mechanical Parts Fabrication – Lifting</c:v>
                </c:pt>
                <c:pt idx="43">
                  <c:v>Mechanism Current Consumption – Sorting</c:v>
                </c:pt>
                <c:pt idx="44">
                  <c:v>PCB Schematic</c:v>
                </c:pt>
                <c:pt idx="45">
                  <c:v>Wiring Electronic Components – Shooting</c:v>
                </c:pt>
                <c:pt idx="46">
                  <c:v>Wiring Electronic Components – Lifting</c:v>
                </c:pt>
                <c:pt idx="47">
                  <c:v>Wiring Electronic Components – Sorting</c:v>
                </c:pt>
                <c:pt idx="48">
                  <c:v>Inter-Mechanism Track Design and Fabrication</c:v>
                </c:pt>
                <c:pt idx="49">
                  <c:v>Wire Casing Design and Fabrication</c:v>
                </c:pt>
                <c:pt idx="50">
                  <c:v>Sensors Calibrations – Shooting</c:v>
                </c:pt>
                <c:pt idx="51">
                  <c:v>Sensor Calibrations – Lifting</c:v>
                </c:pt>
                <c:pt idx="52">
                  <c:v>Sensor Calibrations – Sorting</c:v>
                </c:pt>
                <c:pt idx="53">
                  <c:v>Connection Plugs</c:v>
                </c:pt>
                <c:pt idx="54">
                  <c:v>Components Testing – Shooting</c:v>
                </c:pt>
                <c:pt idx="55">
                  <c:v>Components Testing – Lifting</c:v>
                </c:pt>
                <c:pt idx="56">
                  <c:v>Components Testing – Sorting</c:v>
                </c:pt>
                <c:pt idx="57">
                  <c:v>Start/Stop Buttons</c:v>
                </c:pt>
                <c:pt idx="58">
                  <c:v>Overall Current Consumption </c:v>
                </c:pt>
                <c:pt idx="59">
                  <c:v>Control Algorithm Design – Shooting</c:v>
                </c:pt>
                <c:pt idx="60">
                  <c:v>Control Algorithm Design – Lifting</c:v>
                </c:pt>
                <c:pt idx="61">
                  <c:v>Control Algorithm Design – Sorting</c:v>
                </c:pt>
                <c:pt idx="62">
                  <c:v>Distributed Components Testing</c:v>
                </c:pt>
                <c:pt idx="63">
                  <c:v>Embedded Software Deployment – Shooting</c:v>
                </c:pt>
                <c:pt idx="64">
                  <c:v>Embedded Software Deployment – Lifting</c:v>
                </c:pt>
                <c:pt idx="65">
                  <c:v>Embedded Software Deployment – Sorting</c:v>
                </c:pt>
                <c:pt idx="66">
                  <c:v>Overall Testing</c:v>
                </c:pt>
                <c:pt idx="67">
                  <c:v>Overall Mechanism Testing – Shooting</c:v>
                </c:pt>
                <c:pt idx="68">
                  <c:v>Overall Mechanism Testing – Lifting</c:v>
                </c:pt>
                <c:pt idx="69">
                  <c:v>Overall Mechanism Testing – Sorting</c:v>
                </c:pt>
                <c:pt idx="70">
                  <c:v>User Input Integration</c:v>
                </c:pt>
                <c:pt idx="71">
                  <c:v>Inter-MCU Communication</c:v>
                </c:pt>
                <c:pt idx="72">
                  <c:v>LCD interface</c:v>
                </c:pt>
                <c:pt idx="73">
                  <c:v>Bluetooth Integration</c:v>
                </c:pt>
                <c:pt idx="74">
                  <c:v>GIT repository</c:v>
                </c:pt>
                <c:pt idx="75">
                  <c:v>Processing.io interface</c:v>
                </c:pt>
                <c:pt idx="76">
                  <c:v>Presentation</c:v>
                </c:pt>
                <c:pt idx="77">
                  <c:v>Technical Report</c:v>
                </c:pt>
                <c:pt idx="78">
                  <c:v>Filming the Project Video</c:v>
                </c:pt>
              </c:strCache>
            </c:strRef>
          </c:cat>
          <c:val>
            <c:numRef>
              <c:f>Sheet1!$G$2:$G$80</c:f>
              <c:numCache>
                <c:formatCode>General</c:formatCode>
                <c:ptCount val="79"/>
                <c:pt idx="0">
                  <c:v>7</c:v>
                </c:pt>
                <c:pt idx="1">
                  <c:v>7</c:v>
                </c:pt>
                <c:pt idx="2">
                  <c:v>7</c:v>
                </c:pt>
                <c:pt idx="3">
                  <c:v>7</c:v>
                </c:pt>
                <c:pt idx="4">
                  <c:v>7</c:v>
                </c:pt>
                <c:pt idx="5">
                  <c:v>7</c:v>
                </c:pt>
                <c:pt idx="6">
                  <c:v>3</c:v>
                </c:pt>
                <c:pt idx="7">
                  <c:v>3</c:v>
                </c:pt>
                <c:pt idx="8">
                  <c:v>9</c:v>
                </c:pt>
                <c:pt idx="9">
                  <c:v>9</c:v>
                </c:pt>
                <c:pt idx="10">
                  <c:v>9</c:v>
                </c:pt>
                <c:pt idx="11">
                  <c:v>9</c:v>
                </c:pt>
                <c:pt idx="12">
                  <c:v>2</c:v>
                </c:pt>
                <c:pt idx="13">
                  <c:v>9</c:v>
                </c:pt>
                <c:pt idx="14">
                  <c:v>9</c:v>
                </c:pt>
                <c:pt idx="15">
                  <c:v>2</c:v>
                </c:pt>
                <c:pt idx="16">
                  <c:v>4</c:v>
                </c:pt>
                <c:pt idx="17">
                  <c:v>2</c:v>
                </c:pt>
                <c:pt idx="18">
                  <c:v>2</c:v>
                </c:pt>
                <c:pt idx="19">
                  <c:v>4</c:v>
                </c:pt>
                <c:pt idx="20">
                  <c:v>2</c:v>
                </c:pt>
                <c:pt idx="21">
                  <c:v>4</c:v>
                </c:pt>
                <c:pt idx="22">
                  <c:v>2</c:v>
                </c:pt>
                <c:pt idx="23">
                  <c:v>3</c:v>
                </c:pt>
                <c:pt idx="24">
                  <c:v>3</c:v>
                </c:pt>
                <c:pt idx="25">
                  <c:v>7</c:v>
                </c:pt>
                <c:pt idx="26">
                  <c:v>7</c:v>
                </c:pt>
                <c:pt idx="27">
                  <c:v>10</c:v>
                </c:pt>
                <c:pt idx="28">
                  <c:v>3</c:v>
                </c:pt>
                <c:pt idx="29">
                  <c:v>2</c:v>
                </c:pt>
                <c:pt idx="30">
                  <c:v>2</c:v>
                </c:pt>
                <c:pt idx="31">
                  <c:v>3</c:v>
                </c:pt>
                <c:pt idx="32">
                  <c:v>4</c:v>
                </c:pt>
                <c:pt idx="33">
                  <c:v>4</c:v>
                </c:pt>
                <c:pt idx="34">
                  <c:v>2</c:v>
                </c:pt>
                <c:pt idx="35">
                  <c:v>2</c:v>
                </c:pt>
                <c:pt idx="36">
                  <c:v>2</c:v>
                </c:pt>
                <c:pt idx="37">
                  <c:v>2</c:v>
                </c:pt>
                <c:pt idx="38">
                  <c:v>2</c:v>
                </c:pt>
                <c:pt idx="39">
                  <c:v>4</c:v>
                </c:pt>
                <c:pt idx="40">
                  <c:v>2</c:v>
                </c:pt>
                <c:pt idx="41">
                  <c:v>10</c:v>
                </c:pt>
                <c:pt idx="42">
                  <c:v>10</c:v>
                </c:pt>
                <c:pt idx="43">
                  <c:v>2</c:v>
                </c:pt>
                <c:pt idx="44">
                  <c:v>7</c:v>
                </c:pt>
                <c:pt idx="45">
                  <c:v>2</c:v>
                </c:pt>
                <c:pt idx="46">
                  <c:v>2</c:v>
                </c:pt>
                <c:pt idx="47">
                  <c:v>2</c:v>
                </c:pt>
                <c:pt idx="48">
                  <c:v>9</c:v>
                </c:pt>
                <c:pt idx="49">
                  <c:v>9</c:v>
                </c:pt>
                <c:pt idx="50">
                  <c:v>1</c:v>
                </c:pt>
                <c:pt idx="51">
                  <c:v>1</c:v>
                </c:pt>
                <c:pt idx="52">
                  <c:v>1</c:v>
                </c:pt>
                <c:pt idx="53">
                  <c:v>4</c:v>
                </c:pt>
                <c:pt idx="54">
                  <c:v>1</c:v>
                </c:pt>
                <c:pt idx="55">
                  <c:v>1</c:v>
                </c:pt>
                <c:pt idx="56">
                  <c:v>1</c:v>
                </c:pt>
                <c:pt idx="57">
                  <c:v>3</c:v>
                </c:pt>
                <c:pt idx="58">
                  <c:v>2</c:v>
                </c:pt>
                <c:pt idx="59">
                  <c:v>2</c:v>
                </c:pt>
                <c:pt idx="60">
                  <c:v>2</c:v>
                </c:pt>
                <c:pt idx="61">
                  <c:v>2</c:v>
                </c:pt>
                <c:pt idx="62">
                  <c:v>3</c:v>
                </c:pt>
                <c:pt idx="63">
                  <c:v>7</c:v>
                </c:pt>
                <c:pt idx="64">
                  <c:v>7</c:v>
                </c:pt>
                <c:pt idx="65">
                  <c:v>7</c:v>
                </c:pt>
                <c:pt idx="66">
                  <c:v>11</c:v>
                </c:pt>
                <c:pt idx="67">
                  <c:v>8</c:v>
                </c:pt>
                <c:pt idx="68">
                  <c:v>8</c:v>
                </c:pt>
                <c:pt idx="69">
                  <c:v>8</c:v>
                </c:pt>
                <c:pt idx="70">
                  <c:v>7</c:v>
                </c:pt>
                <c:pt idx="71">
                  <c:v>7</c:v>
                </c:pt>
                <c:pt idx="72">
                  <c:v>7</c:v>
                </c:pt>
                <c:pt idx="73">
                  <c:v>7</c:v>
                </c:pt>
                <c:pt idx="74">
                  <c:v>8</c:v>
                </c:pt>
                <c:pt idx="75">
                  <c:v>7</c:v>
                </c:pt>
                <c:pt idx="76">
                  <c:v>5</c:v>
                </c:pt>
                <c:pt idx="77">
                  <c:v>5</c:v>
                </c:pt>
                <c:pt idx="78">
                  <c:v>2</c:v>
                </c:pt>
              </c:numCache>
            </c:numRef>
          </c:val>
          <c:extLst>
            <c:ext xmlns:c16="http://schemas.microsoft.com/office/drawing/2014/chart" uri="{C3380CC4-5D6E-409C-BE32-E72D297353CC}">
              <c16:uniqueId val="{00000001-0452-4831-9E12-70250AB54655}"/>
            </c:ext>
          </c:extLst>
        </c:ser>
        <c:dLbls>
          <c:showLegendKey val="0"/>
          <c:showVal val="0"/>
          <c:showCatName val="0"/>
          <c:showSerName val="0"/>
          <c:showPercent val="0"/>
          <c:showBubbleSize val="0"/>
        </c:dLbls>
        <c:gapWidth val="150"/>
        <c:overlap val="100"/>
        <c:axId val="1965782015"/>
        <c:axId val="1965778655"/>
      </c:barChart>
      <c:catAx>
        <c:axId val="196578201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965778655"/>
        <c:crosses val="autoZero"/>
        <c:auto val="1"/>
        <c:lblAlgn val="ctr"/>
        <c:lblOffset val="100"/>
        <c:noMultiLvlLbl val="0"/>
      </c:catAx>
      <c:valAx>
        <c:axId val="1965778655"/>
        <c:scaling>
          <c:orientation val="minMax"/>
          <c:max val="46145"/>
          <c:min val="46062"/>
        </c:scaling>
        <c:delete val="0"/>
        <c:axPos val="t"/>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a:noFill/>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782015"/>
        <c:crosses val="autoZero"/>
        <c:crossBetween val="between"/>
        <c:majorUnit val="7"/>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327962</xdr:colOff>
      <xdr:row>0</xdr:row>
      <xdr:rowOff>48489</xdr:rowOff>
    </xdr:from>
    <xdr:to>
      <xdr:col>47</xdr:col>
      <xdr:colOff>646545</xdr:colOff>
      <xdr:row>81</xdr:row>
      <xdr:rowOff>-1</xdr:rowOff>
    </xdr:to>
    <xdr:graphicFrame macro="">
      <xdr:nvGraphicFramePr>
        <xdr:cNvPr id="2" name="Chart 1">
          <a:extLst>
            <a:ext uri="{FF2B5EF4-FFF2-40B4-BE49-F238E27FC236}">
              <a16:creationId xmlns:a16="http://schemas.microsoft.com/office/drawing/2014/main" id="{C90B1C7C-FDAE-139D-5CF9-A0C0536EBA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showRuler="0" topLeftCell="A2" zoomScale="103" zoomScaleNormal="46" zoomScalePageLayoutView="70" workbookViewId="0">
      <selection activeCell="C5" sqref="C5:C6"/>
    </sheetView>
  </sheetViews>
  <sheetFormatPr defaultColWidth="8.6640625" defaultRowHeight="30" customHeight="1" x14ac:dyDescent="0.3"/>
  <cols>
    <col min="1" max="1" width="2.6640625" style="13" customWidth="1"/>
    <col min="2" max="2" width="22.6640625" customWidth="1"/>
    <col min="3" max="3" width="16.6640625" customWidth="1"/>
    <col min="4" max="4" width="10.6640625" customWidth="1"/>
    <col min="5" max="5" width="10.6640625" style="2" customWidth="1"/>
    <col min="6" max="6" width="10.6640625" customWidth="1"/>
    <col min="7" max="7" width="2.6640625" customWidth="1"/>
    <col min="8" max="8" width="6" hidden="1" customWidth="1"/>
    <col min="9" max="65" width="2.6640625" customWidth="1"/>
  </cols>
  <sheetData>
    <row r="1" spans="1:64" ht="90" customHeight="1" x14ac:dyDescent="1.7">
      <c r="A1" s="14"/>
      <c r="B1" s="98" t="s">
        <v>23</v>
      </c>
      <c r="C1" s="18"/>
      <c r="D1" s="19"/>
      <c r="E1" s="20"/>
      <c r="F1" s="21"/>
      <c r="H1" s="1"/>
      <c r="I1" s="119" t="s">
        <v>51</v>
      </c>
      <c r="J1" s="120"/>
      <c r="K1" s="120"/>
      <c r="L1" s="120"/>
      <c r="M1" s="120"/>
      <c r="N1" s="120"/>
      <c r="O1" s="120"/>
      <c r="P1" s="24"/>
      <c r="Q1" s="118">
        <f ca="1">TODAY()</f>
        <v>46087</v>
      </c>
      <c r="R1" s="117"/>
      <c r="S1" s="117"/>
      <c r="T1" s="117"/>
      <c r="U1" s="117"/>
      <c r="V1" s="117"/>
      <c r="W1" s="117"/>
      <c r="X1" s="117"/>
      <c r="Y1" s="117"/>
      <c r="Z1" s="117"/>
    </row>
    <row r="2" spans="1:64" ht="30" customHeight="1" x14ac:dyDescent="0.7">
      <c r="B2" s="96" t="s">
        <v>21</v>
      </c>
      <c r="C2" s="97" t="s">
        <v>22</v>
      </c>
      <c r="D2" s="22"/>
      <c r="E2" s="23"/>
      <c r="F2" s="22"/>
      <c r="I2" s="119" t="s">
        <v>52</v>
      </c>
      <c r="J2" s="120"/>
      <c r="K2" s="120"/>
      <c r="L2" s="120"/>
      <c r="M2" s="120"/>
      <c r="N2" s="120"/>
      <c r="O2" s="120"/>
      <c r="P2" s="24"/>
      <c r="Q2" s="116">
        <v>1</v>
      </c>
      <c r="R2" s="117"/>
      <c r="S2" s="117"/>
      <c r="T2" s="117"/>
      <c r="U2" s="117"/>
      <c r="V2" s="117"/>
      <c r="W2" s="117"/>
      <c r="X2" s="117"/>
      <c r="Y2" s="117"/>
      <c r="Z2" s="117"/>
    </row>
    <row r="3" spans="1:64" s="26" customFormat="1" ht="30" customHeight="1" x14ac:dyDescent="0.3">
      <c r="A3" s="13"/>
      <c r="B3" s="25" t="s">
        <v>8</v>
      </c>
      <c r="D3" s="27"/>
      <c r="E3" s="28"/>
    </row>
    <row r="4" spans="1:64" s="26" customFormat="1" ht="30" customHeight="1" x14ac:dyDescent="0.3">
      <c r="A4" s="14"/>
      <c r="B4" s="29" t="s">
        <v>13</v>
      </c>
      <c r="E4" s="30"/>
      <c r="I4" s="123">
        <f ca="1">I5</f>
        <v>46083</v>
      </c>
      <c r="J4" s="121"/>
      <c r="K4" s="121"/>
      <c r="L4" s="121"/>
      <c r="M4" s="121"/>
      <c r="N4" s="121"/>
      <c r="O4" s="121"/>
      <c r="P4" s="121">
        <f ca="1">P5</f>
        <v>46090</v>
      </c>
      <c r="Q4" s="121"/>
      <c r="R4" s="121"/>
      <c r="S4" s="121"/>
      <c r="T4" s="121"/>
      <c r="U4" s="121"/>
      <c r="V4" s="121"/>
      <c r="W4" s="121">
        <f ca="1">W5</f>
        <v>46097</v>
      </c>
      <c r="X4" s="121"/>
      <c r="Y4" s="121"/>
      <c r="Z4" s="121"/>
      <c r="AA4" s="121"/>
      <c r="AB4" s="121"/>
      <c r="AC4" s="121"/>
      <c r="AD4" s="121">
        <f ca="1">AD5</f>
        <v>46104</v>
      </c>
      <c r="AE4" s="121"/>
      <c r="AF4" s="121"/>
      <c r="AG4" s="121"/>
      <c r="AH4" s="121"/>
      <c r="AI4" s="121"/>
      <c r="AJ4" s="121"/>
      <c r="AK4" s="121">
        <f ca="1">AK5</f>
        <v>46111</v>
      </c>
      <c r="AL4" s="121"/>
      <c r="AM4" s="121"/>
      <c r="AN4" s="121"/>
      <c r="AO4" s="121"/>
      <c r="AP4" s="121"/>
      <c r="AQ4" s="121"/>
      <c r="AR4" s="121">
        <f ca="1">AR5</f>
        <v>46118</v>
      </c>
      <c r="AS4" s="121"/>
      <c r="AT4" s="121"/>
      <c r="AU4" s="121"/>
      <c r="AV4" s="121"/>
      <c r="AW4" s="121"/>
      <c r="AX4" s="121"/>
      <c r="AY4" s="121">
        <f ca="1">AY5</f>
        <v>46125</v>
      </c>
      <c r="AZ4" s="121"/>
      <c r="BA4" s="121"/>
      <c r="BB4" s="121"/>
      <c r="BC4" s="121"/>
      <c r="BD4" s="121"/>
      <c r="BE4" s="121"/>
      <c r="BF4" s="121">
        <f ca="1">BF5</f>
        <v>46132</v>
      </c>
      <c r="BG4" s="121"/>
      <c r="BH4" s="121"/>
      <c r="BI4" s="121"/>
      <c r="BJ4" s="121"/>
      <c r="BK4" s="121"/>
      <c r="BL4" s="122"/>
    </row>
    <row r="5" spans="1:64" s="26" customFormat="1" ht="15" customHeight="1" x14ac:dyDescent="0.3">
      <c r="A5" s="109"/>
      <c r="B5" s="110" t="s">
        <v>5</v>
      </c>
      <c r="C5" s="112" t="s">
        <v>53</v>
      </c>
      <c r="D5" s="114" t="s">
        <v>1</v>
      </c>
      <c r="E5" s="114" t="s">
        <v>3</v>
      </c>
      <c r="F5" s="114" t="s">
        <v>4</v>
      </c>
      <c r="I5" s="31">
        <f ca="1">Project_Start-WEEKDAY(Project_Start,1)+2+7*(Display_Week-1)</f>
        <v>46083</v>
      </c>
      <c r="J5" s="31">
        <f ca="1">I5+1</f>
        <v>46084</v>
      </c>
      <c r="K5" s="31">
        <f t="shared" ref="K5:AX5" ca="1" si="0">J5+1</f>
        <v>46085</v>
      </c>
      <c r="L5" s="31">
        <f t="shared" ca="1" si="0"/>
        <v>46086</v>
      </c>
      <c r="M5" s="31">
        <f t="shared" ca="1" si="0"/>
        <v>46087</v>
      </c>
      <c r="N5" s="31">
        <f t="shared" ca="1" si="0"/>
        <v>46088</v>
      </c>
      <c r="O5" s="32">
        <f t="shared" ca="1" si="0"/>
        <v>46089</v>
      </c>
      <c r="P5" s="33">
        <f ca="1">O5+1</f>
        <v>46090</v>
      </c>
      <c r="Q5" s="31">
        <f ca="1">P5+1</f>
        <v>46091</v>
      </c>
      <c r="R5" s="31">
        <f t="shared" ca="1" si="0"/>
        <v>46092</v>
      </c>
      <c r="S5" s="31">
        <f t="shared" ca="1" si="0"/>
        <v>46093</v>
      </c>
      <c r="T5" s="31">
        <f t="shared" ca="1" si="0"/>
        <v>46094</v>
      </c>
      <c r="U5" s="31">
        <f t="shared" ca="1" si="0"/>
        <v>46095</v>
      </c>
      <c r="V5" s="32">
        <f t="shared" ca="1" si="0"/>
        <v>46096</v>
      </c>
      <c r="W5" s="33">
        <f ca="1">V5+1</f>
        <v>46097</v>
      </c>
      <c r="X5" s="31">
        <f ca="1">W5+1</f>
        <v>46098</v>
      </c>
      <c r="Y5" s="31">
        <f t="shared" ca="1" si="0"/>
        <v>46099</v>
      </c>
      <c r="Z5" s="31">
        <f t="shared" ca="1" si="0"/>
        <v>46100</v>
      </c>
      <c r="AA5" s="31">
        <f t="shared" ca="1" si="0"/>
        <v>46101</v>
      </c>
      <c r="AB5" s="31">
        <f t="shared" ca="1" si="0"/>
        <v>46102</v>
      </c>
      <c r="AC5" s="32">
        <f t="shared" ca="1" si="0"/>
        <v>46103</v>
      </c>
      <c r="AD5" s="33">
        <f ca="1">AC5+1</f>
        <v>46104</v>
      </c>
      <c r="AE5" s="31">
        <f ca="1">AD5+1</f>
        <v>46105</v>
      </c>
      <c r="AF5" s="31">
        <f t="shared" ca="1" si="0"/>
        <v>46106</v>
      </c>
      <c r="AG5" s="31">
        <f t="shared" ca="1" si="0"/>
        <v>46107</v>
      </c>
      <c r="AH5" s="31">
        <f t="shared" ca="1" si="0"/>
        <v>46108</v>
      </c>
      <c r="AI5" s="31">
        <f t="shared" ca="1" si="0"/>
        <v>46109</v>
      </c>
      <c r="AJ5" s="32">
        <f t="shared" ca="1" si="0"/>
        <v>46110</v>
      </c>
      <c r="AK5" s="33">
        <f ca="1">AJ5+1</f>
        <v>46111</v>
      </c>
      <c r="AL5" s="31">
        <f ca="1">AK5+1</f>
        <v>46112</v>
      </c>
      <c r="AM5" s="31">
        <f t="shared" ca="1" si="0"/>
        <v>46113</v>
      </c>
      <c r="AN5" s="31">
        <f t="shared" ca="1" si="0"/>
        <v>46114</v>
      </c>
      <c r="AO5" s="31">
        <f t="shared" ca="1" si="0"/>
        <v>46115</v>
      </c>
      <c r="AP5" s="31">
        <f t="shared" ca="1" si="0"/>
        <v>46116</v>
      </c>
      <c r="AQ5" s="32">
        <f t="shared" ca="1" si="0"/>
        <v>46117</v>
      </c>
      <c r="AR5" s="33">
        <f ca="1">AQ5+1</f>
        <v>46118</v>
      </c>
      <c r="AS5" s="31">
        <f ca="1">AR5+1</f>
        <v>46119</v>
      </c>
      <c r="AT5" s="31">
        <f t="shared" ca="1" si="0"/>
        <v>46120</v>
      </c>
      <c r="AU5" s="31">
        <f t="shared" ca="1" si="0"/>
        <v>46121</v>
      </c>
      <c r="AV5" s="31">
        <f t="shared" ca="1" si="0"/>
        <v>46122</v>
      </c>
      <c r="AW5" s="31">
        <f t="shared" ca="1" si="0"/>
        <v>46123</v>
      </c>
      <c r="AX5" s="32">
        <f t="shared" ca="1" si="0"/>
        <v>46124</v>
      </c>
      <c r="AY5" s="33">
        <f ca="1">AX5+1</f>
        <v>46125</v>
      </c>
      <c r="AZ5" s="31">
        <f ca="1">AY5+1</f>
        <v>46126</v>
      </c>
      <c r="BA5" s="31">
        <f t="shared" ref="BA5:BE5" ca="1" si="1">AZ5+1</f>
        <v>46127</v>
      </c>
      <c r="BB5" s="31">
        <f t="shared" ca="1" si="1"/>
        <v>46128</v>
      </c>
      <c r="BC5" s="31">
        <f t="shared" ca="1" si="1"/>
        <v>46129</v>
      </c>
      <c r="BD5" s="31">
        <f t="shared" ca="1" si="1"/>
        <v>46130</v>
      </c>
      <c r="BE5" s="32">
        <f t="shared" ca="1" si="1"/>
        <v>46131</v>
      </c>
      <c r="BF5" s="33">
        <f ca="1">BE5+1</f>
        <v>46132</v>
      </c>
      <c r="BG5" s="31">
        <f ca="1">BF5+1</f>
        <v>46133</v>
      </c>
      <c r="BH5" s="31">
        <f t="shared" ref="BH5:BL5" ca="1" si="2">BG5+1</f>
        <v>46134</v>
      </c>
      <c r="BI5" s="31">
        <f t="shared" ca="1" si="2"/>
        <v>46135</v>
      </c>
      <c r="BJ5" s="31">
        <f t="shared" ca="1" si="2"/>
        <v>46136</v>
      </c>
      <c r="BK5" s="31">
        <f t="shared" ca="1" si="2"/>
        <v>46137</v>
      </c>
      <c r="BL5" s="31">
        <f t="shared" ca="1" si="2"/>
        <v>46138</v>
      </c>
    </row>
    <row r="6" spans="1:64" s="26" customFormat="1" ht="15" customHeight="1" thickBot="1" x14ac:dyDescent="0.35">
      <c r="A6" s="109"/>
      <c r="B6" s="111"/>
      <c r="C6" s="113"/>
      <c r="D6" s="115"/>
      <c r="E6" s="113"/>
      <c r="F6" s="113"/>
      <c r="I6" s="34" t="str">
        <f t="shared" ref="I6:AN6" ca="1" si="3">LEFT(TEXT(I5,"ddd"),1)</f>
        <v>M</v>
      </c>
      <c r="J6" s="35" t="str">
        <f t="shared" ca="1" si="3"/>
        <v>T</v>
      </c>
      <c r="K6" s="35" t="str">
        <f t="shared" ca="1" si="3"/>
        <v>W</v>
      </c>
      <c r="L6" s="35" t="str">
        <f t="shared" ca="1" si="3"/>
        <v>T</v>
      </c>
      <c r="M6" s="35" t="str">
        <f t="shared" ca="1" si="3"/>
        <v>F</v>
      </c>
      <c r="N6" s="35" t="str">
        <f t="shared" ca="1" si="3"/>
        <v>S</v>
      </c>
      <c r="O6" s="35" t="str">
        <f t="shared" ca="1" si="3"/>
        <v>S</v>
      </c>
      <c r="P6" s="35" t="str">
        <f t="shared" ca="1" si="3"/>
        <v>M</v>
      </c>
      <c r="Q6" s="35" t="str">
        <f t="shared" ca="1" si="3"/>
        <v>T</v>
      </c>
      <c r="R6" s="35" t="str">
        <f t="shared" ca="1" si="3"/>
        <v>W</v>
      </c>
      <c r="S6" s="35" t="str">
        <f t="shared" ca="1" si="3"/>
        <v>T</v>
      </c>
      <c r="T6" s="35" t="str">
        <f t="shared" ca="1" si="3"/>
        <v>F</v>
      </c>
      <c r="U6" s="35" t="str">
        <f t="shared" ca="1" si="3"/>
        <v>S</v>
      </c>
      <c r="V6" s="35" t="str">
        <f t="shared" ca="1" si="3"/>
        <v>S</v>
      </c>
      <c r="W6" s="35" t="str">
        <f t="shared" ca="1" si="3"/>
        <v>M</v>
      </c>
      <c r="X6" s="35" t="str">
        <f t="shared" ca="1" si="3"/>
        <v>T</v>
      </c>
      <c r="Y6" s="35" t="str">
        <f t="shared" ca="1" si="3"/>
        <v>W</v>
      </c>
      <c r="Z6" s="35" t="str">
        <f t="shared" ca="1" si="3"/>
        <v>T</v>
      </c>
      <c r="AA6" s="35" t="str">
        <f t="shared" ca="1" si="3"/>
        <v>F</v>
      </c>
      <c r="AB6" s="35" t="str">
        <f t="shared" ca="1" si="3"/>
        <v>S</v>
      </c>
      <c r="AC6" s="35" t="str">
        <f t="shared" ca="1" si="3"/>
        <v>S</v>
      </c>
      <c r="AD6" s="35" t="str">
        <f t="shared" ca="1" si="3"/>
        <v>M</v>
      </c>
      <c r="AE6" s="35" t="str">
        <f t="shared" ca="1" si="3"/>
        <v>T</v>
      </c>
      <c r="AF6" s="35" t="str">
        <f t="shared" ca="1" si="3"/>
        <v>W</v>
      </c>
      <c r="AG6" s="35" t="str">
        <f t="shared" ca="1" si="3"/>
        <v>T</v>
      </c>
      <c r="AH6" s="35" t="str">
        <f t="shared" ca="1" si="3"/>
        <v>F</v>
      </c>
      <c r="AI6" s="35" t="str">
        <f t="shared" ca="1" si="3"/>
        <v>S</v>
      </c>
      <c r="AJ6" s="35" t="str">
        <f t="shared" ca="1" si="3"/>
        <v>S</v>
      </c>
      <c r="AK6" s="35" t="str">
        <f t="shared" ca="1" si="3"/>
        <v>M</v>
      </c>
      <c r="AL6" s="35" t="str">
        <f t="shared" ca="1" si="3"/>
        <v>T</v>
      </c>
      <c r="AM6" s="35" t="str">
        <f t="shared" ca="1" si="3"/>
        <v>W</v>
      </c>
      <c r="AN6" s="35" t="str">
        <f t="shared" ca="1" si="3"/>
        <v>T</v>
      </c>
      <c r="AO6" s="35" t="str">
        <f t="shared" ref="AO6:BL6" ca="1" si="4">LEFT(TEXT(AO5,"ddd"),1)</f>
        <v>F</v>
      </c>
      <c r="AP6" s="35" t="str">
        <f t="shared" ca="1" si="4"/>
        <v>S</v>
      </c>
      <c r="AQ6" s="35" t="str">
        <f t="shared" ca="1" si="4"/>
        <v>S</v>
      </c>
      <c r="AR6" s="35" t="str">
        <f t="shared" ca="1" si="4"/>
        <v>M</v>
      </c>
      <c r="AS6" s="35" t="str">
        <f t="shared" ca="1" si="4"/>
        <v>T</v>
      </c>
      <c r="AT6" s="35" t="str">
        <f t="shared" ca="1" si="4"/>
        <v>W</v>
      </c>
      <c r="AU6" s="35" t="str">
        <f t="shared" ca="1" si="4"/>
        <v>T</v>
      </c>
      <c r="AV6" s="35" t="str">
        <f t="shared" ca="1" si="4"/>
        <v>F</v>
      </c>
      <c r="AW6" s="35" t="str">
        <f t="shared" ca="1" si="4"/>
        <v>S</v>
      </c>
      <c r="AX6" s="35" t="str">
        <f t="shared" ca="1" si="4"/>
        <v>S</v>
      </c>
      <c r="AY6" s="35" t="str">
        <f t="shared" ca="1" si="4"/>
        <v>M</v>
      </c>
      <c r="AZ6" s="35" t="str">
        <f t="shared" ca="1" si="4"/>
        <v>T</v>
      </c>
      <c r="BA6" s="35" t="str">
        <f t="shared" ca="1" si="4"/>
        <v>W</v>
      </c>
      <c r="BB6" s="35" t="str">
        <f t="shared" ca="1" si="4"/>
        <v>T</v>
      </c>
      <c r="BC6" s="35" t="str">
        <f t="shared" ca="1" si="4"/>
        <v>F</v>
      </c>
      <c r="BD6" s="35" t="str">
        <f t="shared" ca="1" si="4"/>
        <v>S</v>
      </c>
      <c r="BE6" s="35" t="str">
        <f t="shared" ca="1" si="4"/>
        <v>S</v>
      </c>
      <c r="BF6" s="35" t="str">
        <f t="shared" ca="1" si="4"/>
        <v>M</v>
      </c>
      <c r="BG6" s="35" t="str">
        <f t="shared" ca="1" si="4"/>
        <v>T</v>
      </c>
      <c r="BH6" s="35" t="str">
        <f t="shared" ca="1" si="4"/>
        <v>W</v>
      </c>
      <c r="BI6" s="35" t="str">
        <f t="shared" ca="1" si="4"/>
        <v>T</v>
      </c>
      <c r="BJ6" s="35" t="str">
        <f t="shared" ca="1" si="4"/>
        <v>F</v>
      </c>
      <c r="BK6" s="35" t="str">
        <f t="shared" ca="1" si="4"/>
        <v>S</v>
      </c>
      <c r="BL6" s="36" t="str">
        <f t="shared" ca="1" si="4"/>
        <v>S</v>
      </c>
    </row>
    <row r="7" spans="1:64" s="26" customFormat="1" ht="30" hidden="1" customHeight="1" thickBot="1" x14ac:dyDescent="0.35">
      <c r="A7" s="13" t="s">
        <v>20</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35">
      <c r="A8" s="14"/>
      <c r="B8" s="40" t="s">
        <v>29</v>
      </c>
      <c r="C8" s="41"/>
      <c r="D8" s="42"/>
      <c r="E8" s="43"/>
      <c r="F8" s="44"/>
      <c r="G8" s="17"/>
      <c r="H8" s="5" t="str">
        <f t="shared" ref="H8:H33"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35">
      <c r="A9" s="14"/>
      <c r="B9" s="47" t="s">
        <v>30</v>
      </c>
      <c r="C9" s="48" t="s">
        <v>24</v>
      </c>
      <c r="D9" s="49">
        <v>0.5</v>
      </c>
      <c r="E9" s="50">
        <f ca="1">Project_Start</f>
        <v>46087</v>
      </c>
      <c r="F9" s="50">
        <f ca="1">E9+3</f>
        <v>46090</v>
      </c>
      <c r="G9" s="17"/>
      <c r="H9" s="5">
        <f t="shared" ca="1" si="5"/>
        <v>4</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35">
      <c r="A10" s="14"/>
      <c r="B10" s="52" t="s">
        <v>31</v>
      </c>
      <c r="C10" s="53" t="s">
        <v>25</v>
      </c>
      <c r="D10" s="54">
        <v>0.6</v>
      </c>
      <c r="E10" s="55">
        <f ca="1">F9</f>
        <v>46090</v>
      </c>
      <c r="F10" s="55">
        <f ca="1">E10+2</f>
        <v>46092</v>
      </c>
      <c r="G10" s="17"/>
      <c r="H10" s="5">
        <f t="shared" ca="1" si="5"/>
        <v>3</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x14ac:dyDescent="0.35">
      <c r="A11" s="13"/>
      <c r="B11" s="52" t="s">
        <v>32</v>
      </c>
      <c r="C11" s="53" t="s">
        <v>26</v>
      </c>
      <c r="D11" s="54">
        <v>0.5</v>
      </c>
      <c r="E11" s="55">
        <f ca="1">F10</f>
        <v>46092</v>
      </c>
      <c r="F11" s="55">
        <f ca="1">E11+4</f>
        <v>46096</v>
      </c>
      <c r="G11" s="17"/>
      <c r="H11" s="5">
        <f t="shared" ca="1" si="5"/>
        <v>5</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x14ac:dyDescent="0.35">
      <c r="A12" s="13"/>
      <c r="B12" s="52" t="s">
        <v>33</v>
      </c>
      <c r="C12" s="53" t="s">
        <v>27</v>
      </c>
      <c r="D12" s="54">
        <v>0.25</v>
      </c>
      <c r="E12" s="55">
        <f ca="1">F11</f>
        <v>46096</v>
      </c>
      <c r="F12" s="55">
        <f ca="1">E12+5</f>
        <v>46101</v>
      </c>
      <c r="G12" s="17"/>
      <c r="H12" s="5">
        <f t="shared" ca="1" si="5"/>
        <v>6</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x14ac:dyDescent="0.35">
      <c r="A13" s="13"/>
      <c r="B13" s="52" t="s">
        <v>34</v>
      </c>
      <c r="C13" s="53" t="s">
        <v>28</v>
      </c>
      <c r="D13" s="54"/>
      <c r="E13" s="55">
        <f ca="1">E10+1</f>
        <v>46091</v>
      </c>
      <c r="F13" s="55">
        <f ca="1">E13+2</f>
        <v>46093</v>
      </c>
      <c r="G13" s="17"/>
      <c r="H13" s="5">
        <f t="shared" ca="1" si="5"/>
        <v>3</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x14ac:dyDescent="0.35">
      <c r="A14" s="14"/>
      <c r="B14" s="57" t="s">
        <v>35</v>
      </c>
      <c r="C14" s="58"/>
      <c r="D14" s="59"/>
      <c r="E14" s="60"/>
      <c r="F14" s="61"/>
      <c r="G14" s="17"/>
      <c r="H14" s="5" t="str">
        <f t="shared" si="5"/>
        <v/>
      </c>
    </row>
    <row r="15" spans="1:64" s="46" customFormat="1" ht="30" customHeight="1" thickBot="1" x14ac:dyDescent="0.35">
      <c r="A15" s="14"/>
      <c r="B15" s="62" t="s">
        <v>36</v>
      </c>
      <c r="C15" s="63" t="s">
        <v>24</v>
      </c>
      <c r="D15" s="64">
        <v>0.5</v>
      </c>
      <c r="E15" s="65">
        <f ca="1">E13+1</f>
        <v>46092</v>
      </c>
      <c r="F15" s="65">
        <f ca="1">E15+4</f>
        <v>46096</v>
      </c>
      <c r="G15" s="17"/>
      <c r="H15" s="5">
        <f t="shared" ca="1" si="5"/>
        <v>5</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x14ac:dyDescent="0.35">
      <c r="A16" s="13"/>
      <c r="B16" s="62" t="s">
        <v>37</v>
      </c>
      <c r="C16" s="63" t="s">
        <v>25</v>
      </c>
      <c r="D16" s="64">
        <v>0.5</v>
      </c>
      <c r="E16" s="65">
        <f ca="1">E15+2</f>
        <v>46094</v>
      </c>
      <c r="F16" s="65">
        <f ca="1">E16+5</f>
        <v>46099</v>
      </c>
      <c r="G16" s="17"/>
      <c r="H16" s="5">
        <f t="shared" ca="1" si="5"/>
        <v>6</v>
      </c>
      <c r="I16" s="51"/>
      <c r="J16" s="51"/>
      <c r="K16" s="51"/>
      <c r="L16" s="51"/>
      <c r="M16" s="51"/>
      <c r="N16" s="51"/>
      <c r="O16" s="51"/>
      <c r="P16" s="51"/>
      <c r="Q16" s="51"/>
      <c r="R16" s="51"/>
      <c r="S16" s="51"/>
      <c r="T16" s="51"/>
      <c r="U16" s="56"/>
      <c r="V16" s="56"/>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x14ac:dyDescent="0.35">
      <c r="A17" s="13"/>
      <c r="B17" s="62" t="s">
        <v>38</v>
      </c>
      <c r="C17" s="63" t="s">
        <v>26</v>
      </c>
      <c r="D17" s="64"/>
      <c r="E17" s="65">
        <f ca="1">F16</f>
        <v>46099</v>
      </c>
      <c r="F17" s="65">
        <f ca="1">E17+3</f>
        <v>46102</v>
      </c>
      <c r="G17" s="17"/>
      <c r="H17" s="5">
        <f t="shared" ca="1" si="5"/>
        <v>4</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x14ac:dyDescent="0.35">
      <c r="A18" s="13"/>
      <c r="B18" s="62" t="s">
        <v>39</v>
      </c>
      <c r="C18" s="63" t="s">
        <v>27</v>
      </c>
      <c r="D18" s="64"/>
      <c r="E18" s="65">
        <f ca="1">E17</f>
        <v>46099</v>
      </c>
      <c r="F18" s="65">
        <f ca="1">E18+2</f>
        <v>46101</v>
      </c>
      <c r="G18" s="17"/>
      <c r="H18" s="5">
        <f t="shared" ca="1" si="5"/>
        <v>3</v>
      </c>
      <c r="I18" s="51"/>
      <c r="J18" s="51"/>
      <c r="K18" s="51"/>
      <c r="L18" s="51"/>
      <c r="M18" s="51"/>
      <c r="N18" s="51"/>
      <c r="O18" s="51"/>
      <c r="P18" s="51"/>
      <c r="Q18" s="51"/>
      <c r="R18" s="51"/>
      <c r="S18" s="51"/>
      <c r="T18" s="51"/>
      <c r="U18" s="51"/>
      <c r="V18" s="51"/>
      <c r="W18" s="51"/>
      <c r="X18" s="51"/>
      <c r="Y18" s="56"/>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x14ac:dyDescent="0.35">
      <c r="A19" s="13"/>
      <c r="B19" s="62" t="s">
        <v>40</v>
      </c>
      <c r="C19" s="63" t="s">
        <v>28</v>
      </c>
      <c r="D19" s="64"/>
      <c r="E19" s="65">
        <f ca="1">E18</f>
        <v>46099</v>
      </c>
      <c r="F19" s="65">
        <f ca="1">E19+3</f>
        <v>46102</v>
      </c>
      <c r="G19" s="17"/>
      <c r="H19" s="5">
        <f t="shared" ca="1" si="5"/>
        <v>4</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x14ac:dyDescent="0.35">
      <c r="A20" s="13"/>
      <c r="B20" s="66" t="s">
        <v>41</v>
      </c>
      <c r="C20" s="67"/>
      <c r="D20" s="68"/>
      <c r="E20" s="69"/>
      <c r="F20" s="70"/>
      <c r="G20" s="17"/>
      <c r="H20" s="5" t="str">
        <f t="shared" si="5"/>
        <v/>
      </c>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row>
    <row r="21" spans="1:64" s="46" customFormat="1" ht="30" customHeight="1" thickBot="1" x14ac:dyDescent="0.35">
      <c r="A21" s="13"/>
      <c r="B21" s="72" t="s">
        <v>42</v>
      </c>
      <c r="C21" s="73" t="s">
        <v>24</v>
      </c>
      <c r="D21" s="74">
        <v>0.5</v>
      </c>
      <c r="E21" s="75">
        <f ca="1">E9+15</f>
        <v>46102</v>
      </c>
      <c r="F21" s="75">
        <f ca="1">E21+5</f>
        <v>46107</v>
      </c>
      <c r="G21" s="17"/>
      <c r="H21" s="5">
        <f t="shared" ca="1" si="5"/>
        <v>6</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x14ac:dyDescent="0.35">
      <c r="A22" s="13"/>
      <c r="B22" s="72" t="s">
        <v>43</v>
      </c>
      <c r="C22" s="73" t="s">
        <v>25</v>
      </c>
      <c r="D22" s="74">
        <v>0.6</v>
      </c>
      <c r="E22" s="75">
        <f ca="1">F21+1</f>
        <v>46108</v>
      </c>
      <c r="F22" s="75">
        <f ca="1">E22+4</f>
        <v>46112</v>
      </c>
      <c r="G22" s="17"/>
      <c r="H22" s="5">
        <f t="shared" ca="1" si="5"/>
        <v>5</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35">
      <c r="A23" s="13"/>
      <c r="B23" s="72" t="s">
        <v>44</v>
      </c>
      <c r="C23" s="73" t="s">
        <v>26</v>
      </c>
      <c r="D23" s="74">
        <v>0.5</v>
      </c>
      <c r="E23" s="75">
        <f ca="1">E22+5</f>
        <v>46113</v>
      </c>
      <c r="F23" s="75">
        <f ca="1">E23+5</f>
        <v>46118</v>
      </c>
      <c r="G23" s="17"/>
      <c r="H23" s="5">
        <f t="shared" ca="1" si="5"/>
        <v>6</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x14ac:dyDescent="0.35">
      <c r="A24" s="13"/>
      <c r="B24" s="72" t="s">
        <v>45</v>
      </c>
      <c r="C24" s="73" t="s">
        <v>27</v>
      </c>
      <c r="D24" s="74">
        <v>0.25</v>
      </c>
      <c r="E24" s="75">
        <f ca="1">F23+1</f>
        <v>46119</v>
      </c>
      <c r="F24" s="75">
        <f ca="1">E24+4</f>
        <v>46123</v>
      </c>
      <c r="G24" s="17"/>
      <c r="H24" s="5">
        <f t="shared" ca="1" si="5"/>
        <v>5</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x14ac:dyDescent="0.35">
      <c r="A25" s="13"/>
      <c r="B25" s="72" t="s">
        <v>46</v>
      </c>
      <c r="C25" s="73" t="s">
        <v>28</v>
      </c>
      <c r="D25" s="74">
        <v>0.25</v>
      </c>
      <c r="E25" s="75">
        <f ca="1">E23</f>
        <v>46113</v>
      </c>
      <c r="F25" s="75">
        <f ca="1">E25+4</f>
        <v>46117</v>
      </c>
      <c r="G25" s="17"/>
      <c r="H25" s="5">
        <f t="shared" ca="1" si="5"/>
        <v>5</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x14ac:dyDescent="0.35">
      <c r="A26" s="13"/>
      <c r="B26" s="76" t="s">
        <v>54</v>
      </c>
      <c r="C26" s="77"/>
      <c r="D26" s="78"/>
      <c r="E26" s="79"/>
      <c r="F26" s="80"/>
      <c r="G26" s="17"/>
      <c r="H26" s="5" t="str">
        <f t="shared" si="5"/>
        <v/>
      </c>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row>
    <row r="27" spans="1:64" s="46" customFormat="1" ht="30" customHeight="1" thickBot="1" x14ac:dyDescent="0.35">
      <c r="A27" s="13"/>
      <c r="B27" s="82" t="s">
        <v>43</v>
      </c>
      <c r="C27" s="83" t="s">
        <v>24</v>
      </c>
      <c r="D27" s="84">
        <v>0.25</v>
      </c>
      <c r="E27" s="85">
        <f ca="1">E21+2</f>
        <v>46104</v>
      </c>
      <c r="F27" s="85">
        <f ca="1">E27+3</f>
        <v>46107</v>
      </c>
      <c r="G27" s="17"/>
      <c r="H27" s="5">
        <f t="shared" ca="1" si="5"/>
        <v>4</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x14ac:dyDescent="0.35">
      <c r="A28" s="13"/>
      <c r="B28" s="82" t="s">
        <v>47</v>
      </c>
      <c r="C28" s="83" t="s">
        <v>25</v>
      </c>
      <c r="D28" s="84">
        <v>0.25</v>
      </c>
      <c r="E28" s="85">
        <f ca="1">F27</f>
        <v>46107</v>
      </c>
      <c r="F28" s="85">
        <f ca="1">E28+4</f>
        <v>46111</v>
      </c>
      <c r="G28" s="17"/>
      <c r="H28" s="5">
        <f t="shared" ca="1" si="5"/>
        <v>5</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x14ac:dyDescent="0.35">
      <c r="A29" s="13"/>
      <c r="B29" s="82" t="s">
        <v>48</v>
      </c>
      <c r="C29" s="83" t="s">
        <v>26</v>
      </c>
      <c r="D29" s="84">
        <v>0.5</v>
      </c>
      <c r="E29" s="85">
        <f ca="1">F28+1</f>
        <v>46112</v>
      </c>
      <c r="F29" s="85">
        <f ca="1">E29+3</f>
        <v>46115</v>
      </c>
      <c r="G29" s="17"/>
      <c r="H29" s="5">
        <f t="shared" ca="1" si="5"/>
        <v>4</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x14ac:dyDescent="0.35">
      <c r="A30" s="13"/>
      <c r="B30" s="82" t="s">
        <v>49</v>
      </c>
      <c r="C30" s="83" t="s">
        <v>27</v>
      </c>
      <c r="D30" s="84">
        <v>0.6</v>
      </c>
      <c r="E30" s="85">
        <f ca="1">E27+5</f>
        <v>46109</v>
      </c>
      <c r="F30" s="85">
        <f ca="1">E30+3</f>
        <v>46112</v>
      </c>
      <c r="G30" s="17"/>
      <c r="H30" s="5">
        <f t="shared" ca="1" si="5"/>
        <v>4</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46" customFormat="1" ht="30" customHeight="1" thickBot="1" x14ac:dyDescent="0.35">
      <c r="A31" s="13"/>
      <c r="B31" s="82" t="s">
        <v>50</v>
      </c>
      <c r="C31" s="83" t="s">
        <v>28</v>
      </c>
      <c r="D31" s="84">
        <v>0.5</v>
      </c>
      <c r="E31" s="85">
        <f ca="1">E27+7</f>
        <v>46111</v>
      </c>
      <c r="F31" s="85">
        <f ca="1">E31+5</f>
        <v>46116</v>
      </c>
      <c r="G31" s="17"/>
      <c r="H31" s="5">
        <f t="shared" ca="1" si="5"/>
        <v>6</v>
      </c>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row>
    <row r="32" spans="1:64" s="46" customFormat="1" ht="30" customHeight="1" thickBot="1" x14ac:dyDescent="0.35">
      <c r="A32" s="13"/>
      <c r="B32" s="86"/>
      <c r="C32" s="87"/>
      <c r="D32" s="88"/>
      <c r="E32" s="89"/>
      <c r="F32" s="89"/>
      <c r="G32" s="17"/>
      <c r="H32" s="5" t="str">
        <f t="shared" si="5"/>
        <v/>
      </c>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row>
    <row r="33" spans="1:64" s="46" customFormat="1" ht="30" customHeight="1" thickBot="1" x14ac:dyDescent="0.35">
      <c r="A33" s="14"/>
      <c r="B33" s="90" t="s">
        <v>0</v>
      </c>
      <c r="C33" s="91"/>
      <c r="D33" s="92"/>
      <c r="E33" s="93"/>
      <c r="F33" s="94"/>
      <c r="G33" s="17"/>
      <c r="H33" s="6" t="str">
        <f t="shared" si="5"/>
        <v/>
      </c>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row>
    <row r="34" spans="1:64" ht="30" customHeight="1" x14ac:dyDescent="0.3">
      <c r="G34" s="3"/>
    </row>
    <row r="35" spans="1:64" ht="30" customHeight="1" x14ac:dyDescent="0.3">
      <c r="C35" s="16"/>
      <c r="F35" s="15"/>
    </row>
    <row r="36" spans="1:64" ht="30" customHeight="1" x14ac:dyDescent="0.3">
      <c r="C36"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18 F22:F23 E23 F2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5" x14ac:dyDescent="0.25"/>
  <cols>
    <col min="1" max="1" width="87" style="7" customWidth="1"/>
    <col min="2" max="16384" width="9" style="1"/>
  </cols>
  <sheetData>
    <row r="1" spans="1:2" ht="46.5" customHeight="1" x14ac:dyDescent="0.25"/>
    <row r="2" spans="1:2" s="9" customFormat="1" ht="15.5" x14ac:dyDescent="0.3">
      <c r="A2" s="99" t="s">
        <v>8</v>
      </c>
      <c r="B2" s="8"/>
    </row>
    <row r="3" spans="1:2" s="11" customFormat="1" ht="27" customHeight="1" x14ac:dyDescent="0.3">
      <c r="A3" s="100"/>
      <c r="B3" s="12"/>
    </row>
    <row r="4" spans="1:2" s="10" customFormat="1" ht="30.5" x14ac:dyDescent="0.85">
      <c r="A4" s="101" t="s">
        <v>7</v>
      </c>
    </row>
    <row r="5" spans="1:2" ht="74.25" customHeight="1" x14ac:dyDescent="0.25">
      <c r="A5" s="102" t="s">
        <v>16</v>
      </c>
    </row>
    <row r="6" spans="1:2" ht="26.25" customHeight="1" x14ac:dyDescent="0.25">
      <c r="A6" s="101" t="s">
        <v>19</v>
      </c>
    </row>
    <row r="7" spans="1:2" s="7" customFormat="1" ht="205" customHeight="1" x14ac:dyDescent="0.3">
      <c r="A7" s="103" t="s">
        <v>18</v>
      </c>
    </row>
    <row r="8" spans="1:2" s="10" customFormat="1" ht="30.5" x14ac:dyDescent="0.85">
      <c r="A8" s="101" t="s">
        <v>9</v>
      </c>
    </row>
    <row r="9" spans="1:2" ht="42" x14ac:dyDescent="0.25">
      <c r="A9" s="102" t="s">
        <v>17</v>
      </c>
    </row>
    <row r="10" spans="1:2" s="7" customFormat="1" ht="28" customHeight="1" x14ac:dyDescent="0.3">
      <c r="A10" s="104" t="s">
        <v>15</v>
      </c>
    </row>
    <row r="11" spans="1:2" s="10" customFormat="1" ht="30.5" x14ac:dyDescent="0.85">
      <c r="A11" s="101" t="s">
        <v>6</v>
      </c>
    </row>
    <row r="12" spans="1:2" ht="28" x14ac:dyDescent="0.25">
      <c r="A12" s="102" t="s">
        <v>14</v>
      </c>
    </row>
    <row r="13" spans="1:2" s="7" customFormat="1" ht="28" customHeight="1" x14ac:dyDescent="0.3">
      <c r="A13" s="104" t="s">
        <v>2</v>
      </c>
    </row>
    <row r="14" spans="1:2" s="10" customFormat="1" ht="30.5" x14ac:dyDescent="0.85">
      <c r="A14" s="101" t="s">
        <v>10</v>
      </c>
    </row>
    <row r="15" spans="1:2" ht="75" customHeight="1" x14ac:dyDescent="0.25">
      <c r="A15" s="102" t="s">
        <v>11</v>
      </c>
    </row>
    <row r="16" spans="1:2" ht="70" x14ac:dyDescent="0.25">
      <c r="A16" s="102" t="s">
        <v>12</v>
      </c>
    </row>
    <row r="17" spans="1:1" x14ac:dyDescent="0.25">
      <c r="A17" s="105"/>
    </row>
    <row r="18" spans="1:1" x14ac:dyDescent="0.25">
      <c r="A18" s="105"/>
    </row>
    <row r="19" spans="1:1" x14ac:dyDescent="0.25">
      <c r="A19" s="105"/>
    </row>
    <row r="20" spans="1:1" x14ac:dyDescent="0.25">
      <c r="A20" s="105"/>
    </row>
    <row r="21" spans="1:1" x14ac:dyDescent="0.25">
      <c r="A21" s="105"/>
    </row>
    <row r="22" spans="1:1" x14ac:dyDescent="0.25">
      <c r="A22" s="105"/>
    </row>
    <row r="23" spans="1:1" x14ac:dyDescent="0.25">
      <c r="A23" s="105"/>
    </row>
    <row r="24" spans="1:1" x14ac:dyDescent="0.25">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A95C2-D4FB-4F1F-9549-1AA0CF8464E0}">
  <dimension ref="A1:G154"/>
  <sheetViews>
    <sheetView tabSelected="1" zoomScale="84" zoomScaleNormal="100" workbookViewId="0">
      <selection activeCell="D5" sqref="D5"/>
    </sheetView>
  </sheetViews>
  <sheetFormatPr defaultRowHeight="14" x14ac:dyDescent="0.3"/>
  <cols>
    <col min="1" max="1" width="17.1640625" customWidth="1"/>
    <col min="2" max="2" width="11.9140625" customWidth="1"/>
    <col min="3" max="3" width="15" bestFit="1" customWidth="1"/>
    <col min="4" max="4" width="50.6640625" customWidth="1"/>
    <col min="5" max="6" width="9.5" style="2" bestFit="1" customWidth="1"/>
    <col min="7" max="7" width="10.08203125" style="2" bestFit="1" customWidth="1"/>
  </cols>
  <sheetData>
    <row r="1" spans="1:7" ht="14.5" thickBot="1" x14ac:dyDescent="0.35">
      <c r="A1" s="107" t="s">
        <v>148</v>
      </c>
      <c r="B1" s="107" t="s">
        <v>144</v>
      </c>
      <c r="C1" s="107" t="s">
        <v>143</v>
      </c>
      <c r="D1" s="107" t="s">
        <v>55</v>
      </c>
      <c r="E1" s="107" t="s">
        <v>56</v>
      </c>
      <c r="F1" s="107" t="s">
        <v>58</v>
      </c>
      <c r="G1" s="107" t="s">
        <v>57</v>
      </c>
    </row>
    <row r="2" spans="1:7" ht="15" thickTop="1" thickBot="1" x14ac:dyDescent="0.35">
      <c r="A2" s="108" t="s">
        <v>151</v>
      </c>
      <c r="B2" s="108" t="s">
        <v>145</v>
      </c>
      <c r="C2" s="108" t="s">
        <v>138</v>
      </c>
      <c r="D2" s="108" t="s">
        <v>71</v>
      </c>
      <c r="E2" s="106">
        <f>F19</f>
        <v>46094</v>
      </c>
      <c r="F2" s="106">
        <f>E2+G2</f>
        <v>46101</v>
      </c>
      <c r="G2" s="2">
        <v>7</v>
      </c>
    </row>
    <row r="3" spans="1:7" ht="15" thickTop="1" thickBot="1" x14ac:dyDescent="0.35">
      <c r="A3" s="108" t="s">
        <v>152</v>
      </c>
      <c r="B3" s="108" t="s">
        <v>145</v>
      </c>
      <c r="C3" s="108" t="s">
        <v>139</v>
      </c>
      <c r="D3" s="108" t="s">
        <v>90</v>
      </c>
      <c r="E3" s="106">
        <f>F14</f>
        <v>46094</v>
      </c>
      <c r="F3" s="106">
        <f>E3+G3</f>
        <v>46101</v>
      </c>
      <c r="G3" s="2">
        <v>7</v>
      </c>
    </row>
    <row r="4" spans="1:7" ht="15" thickTop="1" thickBot="1" x14ac:dyDescent="0.35">
      <c r="A4" s="108" t="s">
        <v>151</v>
      </c>
      <c r="B4" s="108" t="s">
        <v>145</v>
      </c>
      <c r="C4" s="108" t="s">
        <v>140</v>
      </c>
      <c r="D4" s="108" t="s">
        <v>109</v>
      </c>
      <c r="E4" s="106">
        <f>F17</f>
        <v>46094</v>
      </c>
      <c r="F4" s="106">
        <f>E4+G4</f>
        <v>46101</v>
      </c>
      <c r="G4" s="2">
        <v>7</v>
      </c>
    </row>
    <row r="5" spans="1:7" ht="15" thickTop="1" thickBot="1" x14ac:dyDescent="0.35">
      <c r="A5" s="108" t="s">
        <v>146</v>
      </c>
      <c r="B5" s="108" t="s">
        <v>146</v>
      </c>
      <c r="C5" s="108" t="s">
        <v>142</v>
      </c>
      <c r="D5" s="108" t="s">
        <v>67</v>
      </c>
      <c r="E5" s="106">
        <v>46062</v>
      </c>
      <c r="F5" s="106">
        <f>E5+G5</f>
        <v>46069</v>
      </c>
      <c r="G5" s="2">
        <v>7</v>
      </c>
    </row>
    <row r="6" spans="1:7" ht="15" thickTop="1" thickBot="1" x14ac:dyDescent="0.35">
      <c r="A6" s="108" t="s">
        <v>146</v>
      </c>
      <c r="B6" s="108" t="s">
        <v>146</v>
      </c>
      <c r="C6" s="108" t="s">
        <v>142</v>
      </c>
      <c r="D6" s="108" t="s">
        <v>68</v>
      </c>
      <c r="E6" s="106">
        <v>46062</v>
      </c>
      <c r="F6" s="106">
        <f>E6+G6</f>
        <v>46069</v>
      </c>
      <c r="G6" s="2">
        <v>7</v>
      </c>
    </row>
    <row r="7" spans="1:7" ht="15" thickTop="1" thickBot="1" x14ac:dyDescent="0.35">
      <c r="A7" s="108" t="s">
        <v>146</v>
      </c>
      <c r="B7" s="108" t="s">
        <v>146</v>
      </c>
      <c r="C7" s="108" t="s">
        <v>142</v>
      </c>
      <c r="D7" s="108" t="s">
        <v>61</v>
      </c>
      <c r="E7" s="106">
        <v>46062</v>
      </c>
      <c r="F7" s="106">
        <f>E7+G7</f>
        <v>46069</v>
      </c>
      <c r="G7" s="2">
        <v>7</v>
      </c>
    </row>
    <row r="8" spans="1:7" ht="15" thickTop="1" thickBot="1" x14ac:dyDescent="0.35">
      <c r="A8" s="108" t="s">
        <v>154</v>
      </c>
      <c r="B8" s="108" t="s">
        <v>146</v>
      </c>
      <c r="C8" s="108" t="s">
        <v>142</v>
      </c>
      <c r="D8" s="108" t="s">
        <v>59</v>
      </c>
      <c r="E8" s="106">
        <v>46069</v>
      </c>
      <c r="F8" s="106">
        <f>E8+G8</f>
        <v>46072</v>
      </c>
      <c r="G8" s="2">
        <v>3</v>
      </c>
    </row>
    <row r="9" spans="1:7" ht="15" thickTop="1" thickBot="1" x14ac:dyDescent="0.35">
      <c r="A9" s="108" t="s">
        <v>153</v>
      </c>
      <c r="B9" s="108" t="s">
        <v>146</v>
      </c>
      <c r="C9" s="108" t="s">
        <v>142</v>
      </c>
      <c r="D9" s="108" t="s">
        <v>60</v>
      </c>
      <c r="E9" s="106">
        <v>46069</v>
      </c>
      <c r="F9" s="106">
        <f>E9+G9</f>
        <v>46072</v>
      </c>
      <c r="G9" s="2">
        <v>3</v>
      </c>
    </row>
    <row r="10" spans="1:7" ht="15" thickTop="1" thickBot="1" x14ac:dyDescent="0.35">
      <c r="A10" s="108" t="s">
        <v>151</v>
      </c>
      <c r="B10" s="108" t="s">
        <v>145</v>
      </c>
      <c r="C10" s="108" t="s">
        <v>138</v>
      </c>
      <c r="D10" s="108" t="s">
        <v>69</v>
      </c>
      <c r="E10" s="106">
        <v>46078</v>
      </c>
      <c r="F10" s="106">
        <f>E10+G10</f>
        <v>46087</v>
      </c>
      <c r="G10" s="2">
        <v>9</v>
      </c>
    </row>
    <row r="11" spans="1:7" ht="15" thickTop="1" thickBot="1" x14ac:dyDescent="0.35">
      <c r="A11" s="108" t="s">
        <v>151</v>
      </c>
      <c r="B11" s="108" t="s">
        <v>145</v>
      </c>
      <c r="C11" s="108" t="s">
        <v>138</v>
      </c>
      <c r="D11" s="108" t="s">
        <v>70</v>
      </c>
      <c r="E11" s="106">
        <v>46078</v>
      </c>
      <c r="F11" s="106">
        <f>E11+G11</f>
        <v>46087</v>
      </c>
      <c r="G11" s="2">
        <v>9</v>
      </c>
    </row>
    <row r="12" spans="1:7" ht="15" thickTop="1" thickBot="1" x14ac:dyDescent="0.35">
      <c r="A12" s="108" t="s">
        <v>152</v>
      </c>
      <c r="B12" s="108" t="s">
        <v>145</v>
      </c>
      <c r="C12" s="108" t="s">
        <v>139</v>
      </c>
      <c r="D12" s="108" t="s">
        <v>88</v>
      </c>
      <c r="E12" s="106">
        <v>46078</v>
      </c>
      <c r="F12" s="106">
        <f>E12+G12</f>
        <v>46087</v>
      </c>
      <c r="G12" s="2">
        <v>9</v>
      </c>
    </row>
    <row r="13" spans="1:7" ht="15" thickTop="1" thickBot="1" x14ac:dyDescent="0.35">
      <c r="A13" s="108" t="s">
        <v>152</v>
      </c>
      <c r="B13" s="108" t="s">
        <v>145</v>
      </c>
      <c r="C13" s="108" t="s">
        <v>139</v>
      </c>
      <c r="D13" s="108" t="s">
        <v>89</v>
      </c>
      <c r="E13" s="106">
        <v>46078</v>
      </c>
      <c r="F13" s="106">
        <f>E13+G13</f>
        <v>46087</v>
      </c>
      <c r="G13" s="2">
        <v>9</v>
      </c>
    </row>
    <row r="14" spans="1:7" ht="15" thickTop="1" thickBot="1" x14ac:dyDescent="0.35">
      <c r="A14" s="108" t="s">
        <v>152</v>
      </c>
      <c r="B14" s="108" t="s">
        <v>145</v>
      </c>
      <c r="C14" s="108" t="s">
        <v>139</v>
      </c>
      <c r="D14" s="108" t="s">
        <v>92</v>
      </c>
      <c r="E14" s="106">
        <f>F21</f>
        <v>46092</v>
      </c>
      <c r="F14" s="106">
        <f>E14+G14</f>
        <v>46094</v>
      </c>
      <c r="G14" s="2">
        <v>2</v>
      </c>
    </row>
    <row r="15" spans="1:7" ht="15" thickTop="1" thickBot="1" x14ac:dyDescent="0.35">
      <c r="A15" s="108" t="s">
        <v>151</v>
      </c>
      <c r="B15" s="108" t="s">
        <v>145</v>
      </c>
      <c r="C15" s="108" t="s">
        <v>140</v>
      </c>
      <c r="D15" s="108" t="s">
        <v>107</v>
      </c>
      <c r="E15" s="106">
        <v>46078</v>
      </c>
      <c r="F15" s="106">
        <f>E15+G15</f>
        <v>46087</v>
      </c>
      <c r="G15" s="2">
        <v>9</v>
      </c>
    </row>
    <row r="16" spans="1:7" ht="15" thickTop="1" thickBot="1" x14ac:dyDescent="0.35">
      <c r="A16" s="108" t="s">
        <v>151</v>
      </c>
      <c r="B16" s="108" t="s">
        <v>145</v>
      </c>
      <c r="C16" s="108" t="s">
        <v>140</v>
      </c>
      <c r="D16" s="108" t="s">
        <v>108</v>
      </c>
      <c r="E16" s="106">
        <v>46078</v>
      </c>
      <c r="F16" s="106">
        <f>E16+G16</f>
        <v>46087</v>
      </c>
      <c r="G16" s="2">
        <v>9</v>
      </c>
    </row>
    <row r="17" spans="1:7" ht="15" thickTop="1" thickBot="1" x14ac:dyDescent="0.35">
      <c r="A17" s="108" t="s">
        <v>151</v>
      </c>
      <c r="B17" s="108" t="s">
        <v>145</v>
      </c>
      <c r="C17" s="108" t="s">
        <v>140</v>
      </c>
      <c r="D17" s="108" t="s">
        <v>111</v>
      </c>
      <c r="E17" s="106">
        <f>F23</f>
        <v>46092</v>
      </c>
      <c r="F17" s="106">
        <f>E17+G17</f>
        <v>46094</v>
      </c>
      <c r="G17" s="2">
        <v>2</v>
      </c>
    </row>
    <row r="18" spans="1:7" ht="15" thickTop="1" thickBot="1" x14ac:dyDescent="0.35">
      <c r="A18" s="108" t="s">
        <v>151</v>
      </c>
      <c r="B18" s="108" t="s">
        <v>145</v>
      </c>
      <c r="C18" s="108" t="s">
        <v>138</v>
      </c>
      <c r="D18" s="108" t="s">
        <v>72</v>
      </c>
      <c r="E18" s="106">
        <v>46088</v>
      </c>
      <c r="F18" s="106">
        <f>E18+G18</f>
        <v>46092</v>
      </c>
      <c r="G18" s="2">
        <v>4</v>
      </c>
    </row>
    <row r="19" spans="1:7" ht="15" thickTop="1" thickBot="1" x14ac:dyDescent="0.35">
      <c r="A19" s="108" t="s">
        <v>151</v>
      </c>
      <c r="B19" s="108" t="s">
        <v>145</v>
      </c>
      <c r="C19" s="108" t="s">
        <v>138</v>
      </c>
      <c r="D19" s="108" t="s">
        <v>73</v>
      </c>
      <c r="E19" s="106">
        <f>F18</f>
        <v>46092</v>
      </c>
      <c r="F19" s="106">
        <f>E19+G19</f>
        <v>46094</v>
      </c>
      <c r="G19" s="2">
        <v>2</v>
      </c>
    </row>
    <row r="20" spans="1:7" ht="15" thickTop="1" thickBot="1" x14ac:dyDescent="0.35">
      <c r="A20" s="108" t="s">
        <v>151</v>
      </c>
      <c r="B20" s="108" t="s">
        <v>145</v>
      </c>
      <c r="C20" s="108" t="s">
        <v>138</v>
      </c>
      <c r="D20" s="108" t="s">
        <v>74</v>
      </c>
      <c r="E20" s="106">
        <f>F2</f>
        <v>46101</v>
      </c>
      <c r="F20" s="106">
        <f>E20+G20</f>
        <v>46103</v>
      </c>
      <c r="G20" s="2">
        <v>2</v>
      </c>
    </row>
    <row r="21" spans="1:7" ht="15" thickTop="1" thickBot="1" x14ac:dyDescent="0.35">
      <c r="A21" s="108" t="s">
        <v>152</v>
      </c>
      <c r="B21" s="108" t="s">
        <v>145</v>
      </c>
      <c r="C21" s="108" t="s">
        <v>139</v>
      </c>
      <c r="D21" s="108" t="s">
        <v>91</v>
      </c>
      <c r="E21" s="106">
        <v>46088</v>
      </c>
      <c r="F21" s="106">
        <f>E21+G21</f>
        <v>46092</v>
      </c>
      <c r="G21" s="2">
        <v>4</v>
      </c>
    </row>
    <row r="22" spans="1:7" ht="15" thickTop="1" thickBot="1" x14ac:dyDescent="0.35">
      <c r="A22" s="108" t="s">
        <v>152</v>
      </c>
      <c r="B22" s="108" t="s">
        <v>145</v>
      </c>
      <c r="C22" s="108" t="s">
        <v>139</v>
      </c>
      <c r="D22" s="108" t="s">
        <v>93</v>
      </c>
      <c r="E22" s="106">
        <f>F3</f>
        <v>46101</v>
      </c>
      <c r="F22" s="106">
        <f>E22+G22</f>
        <v>46103</v>
      </c>
      <c r="G22" s="2">
        <v>2</v>
      </c>
    </row>
    <row r="23" spans="1:7" ht="15" thickTop="1" thickBot="1" x14ac:dyDescent="0.35">
      <c r="A23" s="108" t="s">
        <v>151</v>
      </c>
      <c r="B23" s="108" t="s">
        <v>145</v>
      </c>
      <c r="C23" s="108" t="s">
        <v>140</v>
      </c>
      <c r="D23" s="108" t="s">
        <v>110</v>
      </c>
      <c r="E23" s="106">
        <v>46088</v>
      </c>
      <c r="F23" s="106">
        <f>E23+G23</f>
        <v>46092</v>
      </c>
      <c r="G23" s="2">
        <v>4</v>
      </c>
    </row>
    <row r="24" spans="1:7" ht="15" thickTop="1" thickBot="1" x14ac:dyDescent="0.35">
      <c r="A24" s="108" t="s">
        <v>151</v>
      </c>
      <c r="B24" s="108" t="s">
        <v>145</v>
      </c>
      <c r="C24" s="108" t="s">
        <v>140</v>
      </c>
      <c r="D24" s="108" t="s">
        <v>112</v>
      </c>
      <c r="E24" s="106">
        <f>F4</f>
        <v>46101</v>
      </c>
      <c r="F24" s="106">
        <f>E24+G24</f>
        <v>46103</v>
      </c>
      <c r="G24" s="2">
        <v>2</v>
      </c>
    </row>
    <row r="25" spans="1:7" ht="15" thickTop="1" thickBot="1" x14ac:dyDescent="0.35">
      <c r="A25" s="108" t="s">
        <v>150</v>
      </c>
      <c r="B25" s="108" t="s">
        <v>147</v>
      </c>
      <c r="C25" s="108" t="s">
        <v>138</v>
      </c>
      <c r="D25" s="108" t="s">
        <v>80</v>
      </c>
      <c r="E25" s="106">
        <v>46080</v>
      </c>
      <c r="F25" s="106">
        <f>E25+G25</f>
        <v>46083</v>
      </c>
      <c r="G25" s="2">
        <v>3</v>
      </c>
    </row>
    <row r="26" spans="1:7" ht="15" thickTop="1" thickBot="1" x14ac:dyDescent="0.35">
      <c r="A26" s="108" t="s">
        <v>150</v>
      </c>
      <c r="B26" s="108" t="s">
        <v>147</v>
      </c>
      <c r="C26" s="108" t="s">
        <v>138</v>
      </c>
      <c r="D26" s="108" t="s">
        <v>81</v>
      </c>
      <c r="E26" s="106">
        <v>46080</v>
      </c>
      <c r="F26" s="106">
        <f>E26+G26</f>
        <v>46083</v>
      </c>
      <c r="G26" s="2">
        <v>3</v>
      </c>
    </row>
    <row r="27" spans="1:7" ht="15" thickTop="1" thickBot="1" x14ac:dyDescent="0.35">
      <c r="A27" s="108" t="s">
        <v>149</v>
      </c>
      <c r="B27" s="108" t="s">
        <v>147</v>
      </c>
      <c r="C27" s="108" t="s">
        <v>139</v>
      </c>
      <c r="D27" s="108" t="s">
        <v>99</v>
      </c>
      <c r="E27" s="106">
        <v>46080</v>
      </c>
      <c r="F27" s="106">
        <f>E27+G27</f>
        <v>46087</v>
      </c>
      <c r="G27" s="2">
        <v>7</v>
      </c>
    </row>
    <row r="28" spans="1:7" ht="15" thickTop="1" thickBot="1" x14ac:dyDescent="0.35">
      <c r="A28" s="108" t="s">
        <v>149</v>
      </c>
      <c r="B28" s="108" t="s">
        <v>147</v>
      </c>
      <c r="C28" s="108" t="s">
        <v>139</v>
      </c>
      <c r="D28" s="108" t="s">
        <v>100</v>
      </c>
      <c r="E28" s="106">
        <v>46080</v>
      </c>
      <c r="F28" s="106">
        <f>E28+G28</f>
        <v>46087</v>
      </c>
      <c r="G28" s="2">
        <v>7</v>
      </c>
    </row>
    <row r="29" spans="1:7" ht="15" thickTop="1" thickBot="1" x14ac:dyDescent="0.35">
      <c r="A29" s="108" t="s">
        <v>151</v>
      </c>
      <c r="B29" s="108" t="s">
        <v>145</v>
      </c>
      <c r="C29" s="108" t="s">
        <v>140</v>
      </c>
      <c r="D29" s="108" t="s">
        <v>113</v>
      </c>
      <c r="E29" s="106">
        <f>F24</f>
        <v>46103</v>
      </c>
      <c r="F29" s="106">
        <f>E29+G29</f>
        <v>46113</v>
      </c>
      <c r="G29" s="2">
        <v>10</v>
      </c>
    </row>
    <row r="30" spans="1:7" ht="15" thickTop="1" thickBot="1" x14ac:dyDescent="0.35">
      <c r="A30" s="108" t="s">
        <v>151</v>
      </c>
      <c r="B30" s="108" t="s">
        <v>147</v>
      </c>
      <c r="C30" s="108" t="s">
        <v>140</v>
      </c>
      <c r="D30" s="108" t="s">
        <v>118</v>
      </c>
      <c r="E30" s="106">
        <v>46080</v>
      </c>
      <c r="F30" s="106">
        <f>E30+G30</f>
        <v>46083</v>
      </c>
      <c r="G30" s="2">
        <v>3</v>
      </c>
    </row>
    <row r="31" spans="1:7" ht="15" thickTop="1" thickBot="1" x14ac:dyDescent="0.35">
      <c r="A31" s="108" t="s">
        <v>150</v>
      </c>
      <c r="B31" s="108" t="s">
        <v>147</v>
      </c>
      <c r="C31" s="108" t="s">
        <v>138</v>
      </c>
      <c r="D31" s="108" t="s">
        <v>76</v>
      </c>
      <c r="E31" s="106">
        <f>F34</f>
        <v>46096</v>
      </c>
      <c r="F31" s="106">
        <f>E31+G31</f>
        <v>46098</v>
      </c>
      <c r="G31" s="2">
        <v>2</v>
      </c>
    </row>
    <row r="32" spans="1:7" ht="15" thickTop="1" thickBot="1" x14ac:dyDescent="0.35">
      <c r="A32" s="108" t="s">
        <v>149</v>
      </c>
      <c r="B32" s="108" t="s">
        <v>147</v>
      </c>
      <c r="C32" s="108" t="s">
        <v>139</v>
      </c>
      <c r="D32" s="108" t="s">
        <v>95</v>
      </c>
      <c r="E32" s="106">
        <f>F35</f>
        <v>46096</v>
      </c>
      <c r="F32" s="106">
        <f>E32+G32</f>
        <v>46098</v>
      </c>
      <c r="G32" s="2">
        <v>2</v>
      </c>
    </row>
    <row r="33" spans="1:7" ht="15" thickTop="1" thickBot="1" x14ac:dyDescent="0.35">
      <c r="A33" s="108" t="s">
        <v>151</v>
      </c>
      <c r="B33" s="108" t="s">
        <v>147</v>
      </c>
      <c r="C33" s="108" t="s">
        <v>140</v>
      </c>
      <c r="D33" s="108" t="s">
        <v>119</v>
      </c>
      <c r="E33" s="106">
        <v>46080</v>
      </c>
      <c r="F33" s="106">
        <f>E33+G33</f>
        <v>46083</v>
      </c>
      <c r="G33" s="2">
        <v>3</v>
      </c>
    </row>
    <row r="34" spans="1:7" ht="15" thickTop="1" thickBot="1" x14ac:dyDescent="0.35">
      <c r="A34" s="108" t="s">
        <v>150</v>
      </c>
      <c r="B34" s="108" t="s">
        <v>147</v>
      </c>
      <c r="C34" s="108" t="s">
        <v>138</v>
      </c>
      <c r="D34" s="108" t="s">
        <v>85</v>
      </c>
      <c r="E34" s="106">
        <f>F61</f>
        <v>46092</v>
      </c>
      <c r="F34" s="106">
        <f>E34+G34</f>
        <v>46096</v>
      </c>
      <c r="G34" s="2">
        <v>4</v>
      </c>
    </row>
    <row r="35" spans="1:7" ht="15" thickTop="1" thickBot="1" x14ac:dyDescent="0.35">
      <c r="A35" s="108" t="s">
        <v>149</v>
      </c>
      <c r="B35" s="108" t="s">
        <v>147</v>
      </c>
      <c r="C35" s="108" t="s">
        <v>139</v>
      </c>
      <c r="D35" s="108" t="s">
        <v>104</v>
      </c>
      <c r="E35" s="106">
        <f>F62</f>
        <v>46092</v>
      </c>
      <c r="F35" s="106">
        <f>E35+G35</f>
        <v>46096</v>
      </c>
      <c r="G35" s="2">
        <v>4</v>
      </c>
    </row>
    <row r="36" spans="1:7" ht="15" thickTop="1" thickBot="1" x14ac:dyDescent="0.35">
      <c r="A36" s="108" t="s">
        <v>151</v>
      </c>
      <c r="B36" s="108" t="s">
        <v>147</v>
      </c>
      <c r="C36" s="108" t="s">
        <v>140</v>
      </c>
      <c r="D36" s="108" t="s">
        <v>114</v>
      </c>
      <c r="E36" s="106">
        <f>F41</f>
        <v>46096</v>
      </c>
      <c r="F36" s="106">
        <f>E36+G36</f>
        <v>46098</v>
      </c>
      <c r="G36" s="2">
        <v>2</v>
      </c>
    </row>
    <row r="37" spans="1:7" ht="15" thickTop="1" thickBot="1" x14ac:dyDescent="0.35">
      <c r="A37" s="108" t="s">
        <v>150</v>
      </c>
      <c r="B37" s="108" t="s">
        <v>147</v>
      </c>
      <c r="C37" s="108" t="s">
        <v>138</v>
      </c>
      <c r="D37" s="108" t="s">
        <v>77</v>
      </c>
      <c r="E37" s="106">
        <f>F65</f>
        <v>46105</v>
      </c>
      <c r="F37" s="106">
        <f>E37+G37</f>
        <v>46107</v>
      </c>
      <c r="G37" s="2">
        <v>2</v>
      </c>
    </row>
    <row r="38" spans="1:7" ht="15" thickTop="1" thickBot="1" x14ac:dyDescent="0.35">
      <c r="A38" s="108" t="s">
        <v>150</v>
      </c>
      <c r="B38" s="108" t="s">
        <v>147</v>
      </c>
      <c r="C38" s="108" t="s">
        <v>138</v>
      </c>
      <c r="D38" s="108" t="s">
        <v>78</v>
      </c>
      <c r="E38" s="106">
        <f>E37</f>
        <v>46105</v>
      </c>
      <c r="F38" s="106">
        <f>E38+G38</f>
        <v>46107</v>
      </c>
      <c r="G38" s="2">
        <v>2</v>
      </c>
    </row>
    <row r="39" spans="1:7" ht="15" thickTop="1" thickBot="1" x14ac:dyDescent="0.35">
      <c r="A39" s="108" t="s">
        <v>149</v>
      </c>
      <c r="B39" s="108" t="s">
        <v>147</v>
      </c>
      <c r="C39" s="108" t="s">
        <v>139</v>
      </c>
      <c r="D39" s="108" t="s">
        <v>96</v>
      </c>
      <c r="E39" s="106">
        <f>F66</f>
        <v>46105</v>
      </c>
      <c r="F39" s="106">
        <f>E39+G39</f>
        <v>46107</v>
      </c>
      <c r="G39" s="2">
        <v>2</v>
      </c>
    </row>
    <row r="40" spans="1:7" ht="15" thickTop="1" thickBot="1" x14ac:dyDescent="0.35">
      <c r="A40" s="108" t="s">
        <v>149</v>
      </c>
      <c r="B40" s="108" t="s">
        <v>147</v>
      </c>
      <c r="C40" s="108" t="s">
        <v>139</v>
      </c>
      <c r="D40" s="108" t="s">
        <v>97</v>
      </c>
      <c r="E40" s="106">
        <f>F66</f>
        <v>46105</v>
      </c>
      <c r="F40" s="106">
        <f>E40+G40</f>
        <v>46107</v>
      </c>
      <c r="G40" s="2">
        <v>2</v>
      </c>
    </row>
    <row r="41" spans="1:7" ht="15" thickTop="1" thickBot="1" x14ac:dyDescent="0.35">
      <c r="A41" s="108" t="s">
        <v>151</v>
      </c>
      <c r="B41" s="108" t="s">
        <v>147</v>
      </c>
      <c r="C41" s="108" t="s">
        <v>140</v>
      </c>
      <c r="D41" s="108" t="s">
        <v>123</v>
      </c>
      <c r="E41" s="106">
        <f>F63</f>
        <v>46092</v>
      </c>
      <c r="F41" s="106">
        <f>E41+G41</f>
        <v>46096</v>
      </c>
      <c r="G41" s="2">
        <v>4</v>
      </c>
    </row>
    <row r="42" spans="1:7" ht="15" thickTop="1" thickBot="1" x14ac:dyDescent="0.35">
      <c r="A42" s="108" t="s">
        <v>151</v>
      </c>
      <c r="B42" s="108" t="s">
        <v>147</v>
      </c>
      <c r="C42" s="108" t="s">
        <v>140</v>
      </c>
      <c r="D42" s="108" t="s">
        <v>115</v>
      </c>
      <c r="E42" s="106">
        <f>F67</f>
        <v>46105</v>
      </c>
      <c r="F42" s="106">
        <f>E42+G42</f>
        <v>46107</v>
      </c>
      <c r="G42" s="2">
        <v>2</v>
      </c>
    </row>
    <row r="43" spans="1:7" ht="15" thickTop="1" thickBot="1" x14ac:dyDescent="0.35">
      <c r="A43" s="108" t="s">
        <v>151</v>
      </c>
      <c r="B43" s="108" t="s">
        <v>145</v>
      </c>
      <c r="C43" s="108" t="s">
        <v>138</v>
      </c>
      <c r="D43" s="108" t="s">
        <v>75</v>
      </c>
      <c r="E43" s="106">
        <f>F20</f>
        <v>46103</v>
      </c>
      <c r="F43" s="106">
        <f>E43+G43</f>
        <v>46113</v>
      </c>
      <c r="G43" s="2">
        <v>10</v>
      </c>
    </row>
    <row r="44" spans="1:7" ht="15" thickTop="1" thickBot="1" x14ac:dyDescent="0.35">
      <c r="A44" s="108" t="s">
        <v>152</v>
      </c>
      <c r="B44" s="108" t="s">
        <v>145</v>
      </c>
      <c r="C44" s="108" t="s">
        <v>139</v>
      </c>
      <c r="D44" s="108" t="s">
        <v>94</v>
      </c>
      <c r="E44" s="106">
        <f>F22</f>
        <v>46103</v>
      </c>
      <c r="F44" s="106">
        <f>E44+G44</f>
        <v>46113</v>
      </c>
      <c r="G44" s="2">
        <v>10</v>
      </c>
    </row>
    <row r="45" spans="1:7" ht="15" thickTop="1" thickBot="1" x14ac:dyDescent="0.35">
      <c r="A45" s="108" t="s">
        <v>151</v>
      </c>
      <c r="B45" s="108" t="s">
        <v>147</v>
      </c>
      <c r="C45" s="108" t="s">
        <v>140</v>
      </c>
      <c r="D45" s="108" t="s">
        <v>116</v>
      </c>
      <c r="E45" s="106">
        <f>E42</f>
        <v>46105</v>
      </c>
      <c r="F45" s="106">
        <f>E45+G45</f>
        <v>46107</v>
      </c>
      <c r="G45" s="2">
        <v>2</v>
      </c>
    </row>
    <row r="46" spans="1:7" ht="15" thickTop="1" thickBot="1" x14ac:dyDescent="0.35">
      <c r="A46" s="108" t="s">
        <v>151</v>
      </c>
      <c r="B46" s="108" t="s">
        <v>147</v>
      </c>
      <c r="C46" s="108" t="s">
        <v>141</v>
      </c>
      <c r="D46" s="108" t="s">
        <v>129</v>
      </c>
      <c r="E46" s="106">
        <f>E67</f>
        <v>46098</v>
      </c>
      <c r="F46" s="106">
        <f>E46+G46</f>
        <v>46105</v>
      </c>
      <c r="G46" s="2">
        <v>7</v>
      </c>
    </row>
    <row r="47" spans="1:7" ht="15" thickTop="1" thickBot="1" x14ac:dyDescent="0.35">
      <c r="A47" s="108" t="s">
        <v>150</v>
      </c>
      <c r="B47" s="108" t="s">
        <v>147</v>
      </c>
      <c r="C47" s="108" t="s">
        <v>138</v>
      </c>
      <c r="D47" s="108" t="s">
        <v>79</v>
      </c>
      <c r="E47" s="106">
        <v>46115</v>
      </c>
      <c r="F47" s="106">
        <f>E47+G47</f>
        <v>46117</v>
      </c>
      <c r="G47" s="2">
        <v>2</v>
      </c>
    </row>
    <row r="48" spans="1:7" ht="15" thickTop="1" thickBot="1" x14ac:dyDescent="0.35">
      <c r="A48" s="108" t="s">
        <v>149</v>
      </c>
      <c r="B48" s="108" t="s">
        <v>147</v>
      </c>
      <c r="C48" s="108" t="s">
        <v>139</v>
      </c>
      <c r="D48" s="108" t="s">
        <v>98</v>
      </c>
      <c r="E48" s="106">
        <v>46115</v>
      </c>
      <c r="F48" s="106">
        <f>E48+G48</f>
        <v>46117</v>
      </c>
      <c r="G48" s="2">
        <v>2</v>
      </c>
    </row>
    <row r="49" spans="1:7" ht="15" thickTop="1" thickBot="1" x14ac:dyDescent="0.35">
      <c r="A49" s="108" t="s">
        <v>151</v>
      </c>
      <c r="B49" s="108" t="s">
        <v>147</v>
      </c>
      <c r="C49" s="108" t="s">
        <v>140</v>
      </c>
      <c r="D49" s="108" t="s">
        <v>117</v>
      </c>
      <c r="E49" s="106">
        <v>46115</v>
      </c>
      <c r="F49" s="106">
        <f>E49+G49</f>
        <v>46117</v>
      </c>
      <c r="G49" s="2">
        <v>2</v>
      </c>
    </row>
    <row r="50" spans="1:7" ht="15" thickTop="1" thickBot="1" x14ac:dyDescent="0.35">
      <c r="A50" s="108" t="s">
        <v>152</v>
      </c>
      <c r="B50" s="108" t="s">
        <v>145</v>
      </c>
      <c r="C50" s="108" t="s">
        <v>141</v>
      </c>
      <c r="D50" s="108" t="s">
        <v>130</v>
      </c>
      <c r="E50" s="106">
        <v>46123</v>
      </c>
      <c r="F50" s="106">
        <f>E50+G50</f>
        <v>46132</v>
      </c>
      <c r="G50" s="2">
        <v>9</v>
      </c>
    </row>
    <row r="51" spans="1:7" ht="15" thickTop="1" thickBot="1" x14ac:dyDescent="0.35">
      <c r="A51" s="108" t="s">
        <v>151</v>
      </c>
      <c r="B51" s="108" t="s">
        <v>145</v>
      </c>
      <c r="C51" s="108" t="s">
        <v>141</v>
      </c>
      <c r="D51" s="108" t="s">
        <v>131</v>
      </c>
      <c r="E51" s="106">
        <v>46123</v>
      </c>
      <c r="F51" s="106">
        <f>E51+G51</f>
        <v>46132</v>
      </c>
      <c r="G51" s="2">
        <v>9</v>
      </c>
    </row>
    <row r="52" spans="1:7" ht="15" thickTop="1" thickBot="1" x14ac:dyDescent="0.35">
      <c r="A52" s="108" t="s">
        <v>150</v>
      </c>
      <c r="B52" s="108" t="s">
        <v>147</v>
      </c>
      <c r="C52" s="108" t="s">
        <v>138</v>
      </c>
      <c r="D52" s="108" t="s">
        <v>82</v>
      </c>
      <c r="E52" s="106">
        <v>46088</v>
      </c>
      <c r="F52" s="106">
        <f>E52+G52</f>
        <v>46089</v>
      </c>
      <c r="G52" s="2">
        <v>1</v>
      </c>
    </row>
    <row r="53" spans="1:7" ht="15" thickTop="1" thickBot="1" x14ac:dyDescent="0.35">
      <c r="A53" s="108" t="s">
        <v>149</v>
      </c>
      <c r="B53" s="108" t="s">
        <v>147</v>
      </c>
      <c r="C53" s="108" t="s">
        <v>139</v>
      </c>
      <c r="D53" s="108" t="s">
        <v>101</v>
      </c>
      <c r="E53" s="106">
        <v>46088</v>
      </c>
      <c r="F53" s="106">
        <f>E53+G53</f>
        <v>46089</v>
      </c>
      <c r="G53" s="2">
        <v>1</v>
      </c>
    </row>
    <row r="54" spans="1:7" ht="15" thickTop="1" thickBot="1" x14ac:dyDescent="0.35">
      <c r="A54" s="108" t="s">
        <v>151</v>
      </c>
      <c r="B54" s="108" t="s">
        <v>147</v>
      </c>
      <c r="C54" s="108" t="s">
        <v>140</v>
      </c>
      <c r="D54" s="108" t="s">
        <v>120</v>
      </c>
      <c r="E54" s="106">
        <v>46088</v>
      </c>
      <c r="F54" s="106">
        <f>E54+G54</f>
        <v>46089</v>
      </c>
      <c r="G54" s="2">
        <v>1</v>
      </c>
    </row>
    <row r="55" spans="1:7" ht="15" thickTop="1" thickBot="1" x14ac:dyDescent="0.35">
      <c r="A55" s="108" t="s">
        <v>149</v>
      </c>
      <c r="B55" s="108" t="s">
        <v>147</v>
      </c>
      <c r="C55" s="108" t="s">
        <v>141</v>
      </c>
      <c r="D55" s="108" t="s">
        <v>132</v>
      </c>
      <c r="E55" s="106">
        <f>F59</f>
        <v>46126</v>
      </c>
      <c r="F55" s="106">
        <f>E55+G55</f>
        <v>46130</v>
      </c>
      <c r="G55" s="2">
        <v>4</v>
      </c>
    </row>
    <row r="56" spans="1:7" ht="15" thickTop="1" thickBot="1" x14ac:dyDescent="0.35">
      <c r="A56" s="108" t="s">
        <v>150</v>
      </c>
      <c r="B56" s="108" t="s">
        <v>147</v>
      </c>
      <c r="C56" s="108" t="s">
        <v>138</v>
      </c>
      <c r="D56" s="108" t="s">
        <v>83</v>
      </c>
      <c r="E56" s="106">
        <f>F52</f>
        <v>46089</v>
      </c>
      <c r="F56" s="106">
        <f>E56+G56</f>
        <v>46090</v>
      </c>
      <c r="G56" s="2">
        <v>1</v>
      </c>
    </row>
    <row r="57" spans="1:7" ht="15" thickTop="1" thickBot="1" x14ac:dyDescent="0.35">
      <c r="A57" s="108" t="s">
        <v>149</v>
      </c>
      <c r="B57" s="108" t="s">
        <v>147</v>
      </c>
      <c r="C57" s="108" t="s">
        <v>139</v>
      </c>
      <c r="D57" s="108" t="s">
        <v>102</v>
      </c>
      <c r="E57" s="106">
        <f>F53</f>
        <v>46089</v>
      </c>
      <c r="F57" s="106">
        <f>E57+G57</f>
        <v>46090</v>
      </c>
      <c r="G57" s="2">
        <v>1</v>
      </c>
    </row>
    <row r="58" spans="1:7" ht="15" thickTop="1" thickBot="1" x14ac:dyDescent="0.35">
      <c r="A58" s="108" t="s">
        <v>151</v>
      </c>
      <c r="B58" s="108" t="s">
        <v>147</v>
      </c>
      <c r="C58" s="108" t="s">
        <v>140</v>
      </c>
      <c r="D58" s="108" t="s">
        <v>121</v>
      </c>
      <c r="E58" s="106">
        <f>F54</f>
        <v>46089</v>
      </c>
      <c r="F58" s="106">
        <f>E58+G58</f>
        <v>46090</v>
      </c>
      <c r="G58" s="2">
        <v>1</v>
      </c>
    </row>
    <row r="59" spans="1:7" ht="15" thickTop="1" thickBot="1" x14ac:dyDescent="0.35">
      <c r="A59" s="108" t="s">
        <v>149</v>
      </c>
      <c r="B59" s="108" t="s">
        <v>147</v>
      </c>
      <c r="C59" s="108" t="s">
        <v>141</v>
      </c>
      <c r="D59" s="108" t="s">
        <v>133</v>
      </c>
      <c r="E59" s="106">
        <v>46123</v>
      </c>
      <c r="F59" s="106">
        <f>E59+G59</f>
        <v>46126</v>
      </c>
      <c r="G59" s="2">
        <v>3</v>
      </c>
    </row>
    <row r="60" spans="1:7" ht="15" thickTop="1" thickBot="1" x14ac:dyDescent="0.35">
      <c r="A60" s="108" t="s">
        <v>150</v>
      </c>
      <c r="B60" s="108" t="s">
        <v>147</v>
      </c>
      <c r="C60" s="108" t="s">
        <v>141</v>
      </c>
      <c r="D60" s="108" t="s">
        <v>134</v>
      </c>
      <c r="E60" s="106">
        <f>F55</f>
        <v>46130</v>
      </c>
      <c r="F60" s="106">
        <f>E60+G60</f>
        <v>46132</v>
      </c>
      <c r="G60" s="2">
        <v>2</v>
      </c>
    </row>
    <row r="61" spans="1:7" ht="15" thickTop="1" thickBot="1" x14ac:dyDescent="0.35">
      <c r="A61" s="108" t="s">
        <v>150</v>
      </c>
      <c r="B61" s="108" t="s">
        <v>147</v>
      </c>
      <c r="C61" s="108" t="s">
        <v>138</v>
      </c>
      <c r="D61" s="108" t="s">
        <v>84</v>
      </c>
      <c r="E61" s="106">
        <f>F56</f>
        <v>46090</v>
      </c>
      <c r="F61" s="106">
        <f>E61+G61</f>
        <v>46092</v>
      </c>
      <c r="G61" s="2">
        <v>2</v>
      </c>
    </row>
    <row r="62" spans="1:7" ht="15" thickTop="1" thickBot="1" x14ac:dyDescent="0.35">
      <c r="A62" s="108" t="s">
        <v>149</v>
      </c>
      <c r="B62" s="108" t="s">
        <v>147</v>
      </c>
      <c r="C62" s="108" t="s">
        <v>139</v>
      </c>
      <c r="D62" s="108" t="s">
        <v>103</v>
      </c>
      <c r="E62" s="106">
        <f>F57</f>
        <v>46090</v>
      </c>
      <c r="F62" s="106">
        <f>E62+G62</f>
        <v>46092</v>
      </c>
      <c r="G62" s="2">
        <v>2</v>
      </c>
    </row>
    <row r="63" spans="1:7" ht="15" thickTop="1" thickBot="1" x14ac:dyDescent="0.35">
      <c r="A63" s="108" t="s">
        <v>151</v>
      </c>
      <c r="B63" s="108" t="s">
        <v>147</v>
      </c>
      <c r="C63" s="108" t="s">
        <v>140</v>
      </c>
      <c r="D63" s="108" t="s">
        <v>122</v>
      </c>
      <c r="E63" s="106">
        <f>F58</f>
        <v>46090</v>
      </c>
      <c r="F63" s="106">
        <f>E63+G63</f>
        <v>46092</v>
      </c>
      <c r="G63" s="2">
        <v>2</v>
      </c>
    </row>
    <row r="64" spans="1:7" ht="15" thickTop="1" thickBot="1" x14ac:dyDescent="0.35">
      <c r="A64" s="108" t="s">
        <v>146</v>
      </c>
      <c r="B64" s="108" t="s">
        <v>147</v>
      </c>
      <c r="C64" s="108" t="s">
        <v>141</v>
      </c>
      <c r="D64" s="108" t="s">
        <v>135</v>
      </c>
      <c r="E64" s="106">
        <v>46091</v>
      </c>
      <c r="F64" s="106">
        <f>E64+G64</f>
        <v>46094</v>
      </c>
      <c r="G64" s="2">
        <v>3</v>
      </c>
    </row>
    <row r="65" spans="1:7" ht="15" thickTop="1" thickBot="1" x14ac:dyDescent="0.35">
      <c r="A65" s="108" t="s">
        <v>150</v>
      </c>
      <c r="B65" s="108" t="s">
        <v>147</v>
      </c>
      <c r="C65" s="108" t="s">
        <v>138</v>
      </c>
      <c r="D65" s="108" t="s">
        <v>86</v>
      </c>
      <c r="E65" s="106">
        <f>F31</f>
        <v>46098</v>
      </c>
      <c r="F65" s="106">
        <f>E65+G65</f>
        <v>46105</v>
      </c>
      <c r="G65" s="2">
        <v>7</v>
      </c>
    </row>
    <row r="66" spans="1:7" ht="15" thickTop="1" thickBot="1" x14ac:dyDescent="0.35">
      <c r="A66" s="108" t="s">
        <v>149</v>
      </c>
      <c r="B66" s="108" t="s">
        <v>147</v>
      </c>
      <c r="C66" s="108" t="s">
        <v>139</v>
      </c>
      <c r="D66" s="108" t="s">
        <v>105</v>
      </c>
      <c r="E66" s="106">
        <f>F32</f>
        <v>46098</v>
      </c>
      <c r="F66" s="106">
        <f>E66+G66</f>
        <v>46105</v>
      </c>
      <c r="G66" s="2">
        <v>7</v>
      </c>
    </row>
    <row r="67" spans="1:7" ht="15" thickTop="1" thickBot="1" x14ac:dyDescent="0.35">
      <c r="A67" s="108" t="s">
        <v>151</v>
      </c>
      <c r="B67" s="108" t="s">
        <v>147</v>
      </c>
      <c r="C67" s="108" t="s">
        <v>140</v>
      </c>
      <c r="D67" s="108" t="s">
        <v>124</v>
      </c>
      <c r="E67" s="106">
        <f>F36</f>
        <v>46098</v>
      </c>
      <c r="F67" s="106">
        <f>E67+G67</f>
        <v>46105</v>
      </c>
      <c r="G67" s="2">
        <v>7</v>
      </c>
    </row>
    <row r="68" spans="1:7" ht="15" thickTop="1" thickBot="1" x14ac:dyDescent="0.35">
      <c r="A68" s="108" t="s">
        <v>146</v>
      </c>
      <c r="B68" s="108" t="s">
        <v>147</v>
      </c>
      <c r="C68" s="108" t="s">
        <v>141</v>
      </c>
      <c r="D68" s="108" t="s">
        <v>64</v>
      </c>
      <c r="E68" s="106">
        <v>46042</v>
      </c>
      <c r="F68" s="106">
        <f>E68+G68</f>
        <v>46053</v>
      </c>
      <c r="G68" s="2">
        <v>11</v>
      </c>
    </row>
    <row r="69" spans="1:7" ht="15" thickTop="1" thickBot="1" x14ac:dyDescent="0.35">
      <c r="A69" s="108" t="s">
        <v>150</v>
      </c>
      <c r="B69" s="108" t="s">
        <v>147</v>
      </c>
      <c r="C69" s="108" t="s">
        <v>138</v>
      </c>
      <c r="D69" s="108" t="s">
        <v>87</v>
      </c>
      <c r="E69" s="106">
        <v>46115</v>
      </c>
      <c r="F69" s="106">
        <f>E69+G69</f>
        <v>46123</v>
      </c>
      <c r="G69" s="2">
        <v>8</v>
      </c>
    </row>
    <row r="70" spans="1:7" ht="15" thickTop="1" thickBot="1" x14ac:dyDescent="0.35">
      <c r="A70" s="108" t="s">
        <v>149</v>
      </c>
      <c r="B70" s="108" t="s">
        <v>147</v>
      </c>
      <c r="C70" s="108" t="s">
        <v>139</v>
      </c>
      <c r="D70" s="108" t="s">
        <v>106</v>
      </c>
      <c r="E70" s="106">
        <v>46115</v>
      </c>
      <c r="F70" s="106">
        <f>E70+G70</f>
        <v>46123</v>
      </c>
      <c r="G70" s="2">
        <v>8</v>
      </c>
    </row>
    <row r="71" spans="1:7" ht="15" thickTop="1" thickBot="1" x14ac:dyDescent="0.35">
      <c r="A71" s="108" t="s">
        <v>151</v>
      </c>
      <c r="B71" s="108" t="s">
        <v>147</v>
      </c>
      <c r="C71" s="108" t="s">
        <v>140</v>
      </c>
      <c r="D71" s="108" t="s">
        <v>125</v>
      </c>
      <c r="E71" s="106">
        <v>46115</v>
      </c>
      <c r="F71" s="106">
        <f>E71+G71</f>
        <v>46123</v>
      </c>
      <c r="G71" s="2">
        <v>8</v>
      </c>
    </row>
    <row r="72" spans="1:7" ht="15" thickTop="1" thickBot="1" x14ac:dyDescent="0.35">
      <c r="A72" s="108" t="s">
        <v>149</v>
      </c>
      <c r="B72" s="108" t="s">
        <v>147</v>
      </c>
      <c r="C72" s="108" t="s">
        <v>141</v>
      </c>
      <c r="D72" s="108" t="s">
        <v>128</v>
      </c>
      <c r="E72" s="106">
        <f>E77</f>
        <v>46098</v>
      </c>
      <c r="F72" s="106">
        <f>E72+G72</f>
        <v>46105</v>
      </c>
      <c r="G72" s="2">
        <v>7</v>
      </c>
    </row>
    <row r="73" spans="1:7" ht="15" thickTop="1" thickBot="1" x14ac:dyDescent="0.35">
      <c r="A73" s="108" t="s">
        <v>150</v>
      </c>
      <c r="B73" s="108" t="s">
        <v>147</v>
      </c>
      <c r="C73" s="108" t="s">
        <v>141</v>
      </c>
      <c r="D73" s="108" t="s">
        <v>63</v>
      </c>
      <c r="E73" s="106">
        <f>E65</f>
        <v>46098</v>
      </c>
      <c r="F73" s="106">
        <f>E73+G73</f>
        <v>46105</v>
      </c>
      <c r="G73" s="2">
        <v>7</v>
      </c>
    </row>
    <row r="74" spans="1:7" ht="15" thickTop="1" thickBot="1" x14ac:dyDescent="0.35">
      <c r="A74" s="108" t="s">
        <v>151</v>
      </c>
      <c r="B74" s="108" t="s">
        <v>147</v>
      </c>
      <c r="C74" s="108" t="s">
        <v>141</v>
      </c>
      <c r="D74" s="108" t="s">
        <v>126</v>
      </c>
      <c r="E74" s="106">
        <f>E67</f>
        <v>46098</v>
      </c>
      <c r="F74" s="106">
        <f>E74+G74</f>
        <v>46105</v>
      </c>
      <c r="G74" s="2">
        <v>7</v>
      </c>
    </row>
    <row r="75" spans="1:7" ht="15" thickTop="1" thickBot="1" x14ac:dyDescent="0.35">
      <c r="A75" s="108" t="s">
        <v>150</v>
      </c>
      <c r="B75" s="108" t="s">
        <v>147</v>
      </c>
      <c r="C75" s="108" t="s">
        <v>141</v>
      </c>
      <c r="D75" s="108" t="s">
        <v>62</v>
      </c>
      <c r="E75" s="106">
        <f>E65</f>
        <v>46098</v>
      </c>
      <c r="F75" s="106">
        <f>E75+G75</f>
        <v>46105</v>
      </c>
      <c r="G75" s="2">
        <v>7</v>
      </c>
    </row>
    <row r="76" spans="1:7" ht="15" thickTop="1" thickBot="1" x14ac:dyDescent="0.35">
      <c r="A76" s="108" t="s">
        <v>149</v>
      </c>
      <c r="B76" s="108" t="s">
        <v>146</v>
      </c>
      <c r="C76" s="108" t="s">
        <v>141</v>
      </c>
      <c r="D76" s="108" t="s">
        <v>137</v>
      </c>
      <c r="E76" s="106">
        <v>46127</v>
      </c>
      <c r="F76" s="106">
        <f>E76+G76</f>
        <v>46135</v>
      </c>
      <c r="G76" s="2">
        <v>8</v>
      </c>
    </row>
    <row r="77" spans="1:7" ht="15" thickTop="1" thickBot="1" x14ac:dyDescent="0.35">
      <c r="A77" s="108" t="s">
        <v>149</v>
      </c>
      <c r="B77" s="108" t="s">
        <v>147</v>
      </c>
      <c r="C77" s="108" t="s">
        <v>141</v>
      </c>
      <c r="D77" s="108" t="s">
        <v>127</v>
      </c>
      <c r="E77" s="106">
        <f>E66</f>
        <v>46098</v>
      </c>
      <c r="F77" s="106">
        <f>E77+G77</f>
        <v>46105</v>
      </c>
      <c r="G77" s="2">
        <v>7</v>
      </c>
    </row>
    <row r="78" spans="1:7" ht="15" thickTop="1" thickBot="1" x14ac:dyDescent="0.35">
      <c r="A78" s="108" t="s">
        <v>146</v>
      </c>
      <c r="B78" s="108" t="s">
        <v>146</v>
      </c>
      <c r="C78" s="108" t="s">
        <v>142</v>
      </c>
      <c r="D78" s="108" t="s">
        <v>66</v>
      </c>
      <c r="E78" s="106">
        <v>46137</v>
      </c>
      <c r="F78" s="106">
        <f>E78+G78</f>
        <v>46142</v>
      </c>
      <c r="G78" s="2">
        <v>5</v>
      </c>
    </row>
    <row r="79" spans="1:7" ht="15" thickTop="1" thickBot="1" x14ac:dyDescent="0.35">
      <c r="A79" s="108" t="s">
        <v>146</v>
      </c>
      <c r="B79" s="108" t="s">
        <v>146</v>
      </c>
      <c r="C79" s="108" t="s">
        <v>142</v>
      </c>
      <c r="D79" s="108" t="s">
        <v>65</v>
      </c>
      <c r="E79" s="106">
        <v>46137</v>
      </c>
      <c r="F79" s="106">
        <f>E79+G79</f>
        <v>46142</v>
      </c>
      <c r="G79" s="2">
        <v>5</v>
      </c>
    </row>
    <row r="80" spans="1:7" ht="15" thickTop="1" thickBot="1" x14ac:dyDescent="0.35">
      <c r="A80" s="108" t="s">
        <v>146</v>
      </c>
      <c r="B80" s="108" t="s">
        <v>146</v>
      </c>
      <c r="C80" s="108" t="s">
        <v>142</v>
      </c>
      <c r="D80" s="108" t="s">
        <v>136</v>
      </c>
      <c r="E80" s="106">
        <v>46141</v>
      </c>
      <c r="F80" s="106">
        <f>E80+G80</f>
        <v>46143</v>
      </c>
      <c r="G80" s="2">
        <v>2</v>
      </c>
    </row>
    <row r="81" spans="5:7" ht="14.5" thickTop="1" x14ac:dyDescent="0.3">
      <c r="E81"/>
      <c r="F81"/>
      <c r="G81"/>
    </row>
    <row r="82" spans="5:7" x14ac:dyDescent="0.3">
      <c r="E82"/>
      <c r="F82"/>
      <c r="G82"/>
    </row>
    <row r="83" spans="5:7" x14ac:dyDescent="0.3">
      <c r="E83"/>
      <c r="F83"/>
      <c r="G83"/>
    </row>
    <row r="84" spans="5:7" x14ac:dyDescent="0.3">
      <c r="E84"/>
      <c r="F84"/>
      <c r="G84"/>
    </row>
    <row r="85" spans="5:7" x14ac:dyDescent="0.3">
      <c r="E85"/>
      <c r="F85"/>
      <c r="G85"/>
    </row>
    <row r="86" spans="5:7" x14ac:dyDescent="0.3">
      <c r="E86"/>
      <c r="F86"/>
      <c r="G86"/>
    </row>
    <row r="87" spans="5:7" x14ac:dyDescent="0.3">
      <c r="E87"/>
      <c r="G87"/>
    </row>
    <row r="88" spans="5:7" x14ac:dyDescent="0.3">
      <c r="E88"/>
    </row>
    <row r="89" spans="5:7" x14ac:dyDescent="0.3">
      <c r="E89"/>
    </row>
    <row r="90" spans="5:7" x14ac:dyDescent="0.3">
      <c r="E90"/>
    </row>
    <row r="91" spans="5:7" x14ac:dyDescent="0.3">
      <c r="E91"/>
    </row>
    <row r="92" spans="5:7" x14ac:dyDescent="0.3">
      <c r="E92"/>
      <c r="G92"/>
    </row>
    <row r="93" spans="5:7" x14ac:dyDescent="0.3">
      <c r="E93"/>
      <c r="G93"/>
    </row>
    <row r="94" spans="5:7" x14ac:dyDescent="0.3">
      <c r="E94"/>
      <c r="G94"/>
    </row>
    <row r="95" spans="5:7" x14ac:dyDescent="0.3">
      <c r="E95"/>
      <c r="G95"/>
    </row>
    <row r="96" spans="5:7" x14ac:dyDescent="0.3">
      <c r="E96"/>
      <c r="G96"/>
    </row>
    <row r="97" spans="5:7" x14ac:dyDescent="0.3">
      <c r="E97"/>
      <c r="G97"/>
    </row>
    <row r="98" spans="5:7" customFormat="1" x14ac:dyDescent="0.3"/>
    <row r="99" spans="5:7" customFormat="1" x14ac:dyDescent="0.3"/>
    <row r="100" spans="5:7" customFormat="1" x14ac:dyDescent="0.3"/>
    <row r="101" spans="5:7" customFormat="1" x14ac:dyDescent="0.3"/>
    <row r="102" spans="5:7" customFormat="1" x14ac:dyDescent="0.3"/>
    <row r="103" spans="5:7" customFormat="1" x14ac:dyDescent="0.3"/>
    <row r="104" spans="5:7" customFormat="1" x14ac:dyDescent="0.3"/>
    <row r="105" spans="5:7" customFormat="1" x14ac:dyDescent="0.3"/>
    <row r="106" spans="5:7" customFormat="1" x14ac:dyDescent="0.3"/>
    <row r="107" spans="5:7" customFormat="1" x14ac:dyDescent="0.3"/>
    <row r="108" spans="5:7" customFormat="1" x14ac:dyDescent="0.3"/>
    <row r="109" spans="5:7" customFormat="1" x14ac:dyDescent="0.3"/>
    <row r="110" spans="5:7" customFormat="1" x14ac:dyDescent="0.3"/>
    <row r="111" spans="5:7" customFormat="1" x14ac:dyDescent="0.3"/>
    <row r="112" spans="5:7"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sheetData>
  <autoFilter ref="B1:G80" xr:uid="{671A95C2-D4FB-4F1F-9549-1AA0CF8464E0}">
    <sortState xmlns:xlrd2="http://schemas.microsoft.com/office/spreadsheetml/2017/richdata2" ref="B4:G71">
      <sortCondition descending="1" ref="B1:B80"/>
    </sortState>
  </autoFilter>
  <sortState xmlns:xlrd2="http://schemas.microsoft.com/office/spreadsheetml/2017/richdata2" ref="D2:G80">
    <sortCondition ref="F2:F80"/>
  </sortState>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D408A0CAD61C47A6D6FF19F2F80155" ma:contentTypeVersion="10" ma:contentTypeDescription="Create a new document." ma:contentTypeScope="" ma:versionID="602a1360b3478cefc0f6b98c2f72f21b">
  <xsd:schema xmlns:xsd="http://www.w3.org/2001/XMLSchema" xmlns:xs="http://www.w3.org/2001/XMLSchema" xmlns:p="http://schemas.microsoft.com/office/2006/metadata/properties" xmlns:ns3="938129f6-5aea-47de-a487-2b606fc5cf1d" targetNamespace="http://schemas.microsoft.com/office/2006/metadata/properties" ma:root="true" ma:fieldsID="6933808597ed46f2308a12d04074a781" ns3:_="">
    <xsd:import namespace="938129f6-5aea-47de-a487-2b606fc5cf1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8129f6-5aea-47de-a487-2b606fc5cf1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938129f6-5aea-47de-a487-2b606fc5cf1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930632-1D8D-46D8-BEC7-CD4A31C4BB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129f6-5aea-47de-a487-2b606fc5c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2239A0-E68C-493F-BEE6-C77FEA397FD6}">
  <ds:schemaRefs>
    <ds:schemaRef ds:uri="http://purl.org/dc/dcmitype/"/>
    <ds:schemaRef ds:uri="http://purl.org/dc/elements/1.1/"/>
    <ds:schemaRef ds:uri="http://schemas.microsoft.com/office/2006/documentManagement/types"/>
    <ds:schemaRef ds:uri="http://purl.org/dc/terms/"/>
    <ds:schemaRef ds:uri="http://schemas.openxmlformats.org/package/2006/metadata/core-properties"/>
    <ds:schemaRef ds:uri="938129f6-5aea-47de-a487-2b606fc5cf1d"/>
    <ds:schemaRef ds:uri="http://www.w3.org/XML/1998/namespace"/>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Project schedule</vt:lpstr>
      <vt:lpstr>About</vt:lpstr>
      <vt:lpstr>Sheet1</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Israa Mahmoud Ahmed Hussein Eldokmak 24P0401</dc:creator>
  <dc:description/>
  <cp:lastModifiedBy>Mahmoud Walid Mahmoud Afify Moawad 24P0387</cp:lastModifiedBy>
  <cp:lastPrinted>2026-02-24T04:35:19Z</cp:lastPrinted>
  <dcterms:created xsi:type="dcterms:W3CDTF">2022-03-11T22:41:12Z</dcterms:created>
  <dcterms:modified xsi:type="dcterms:W3CDTF">2026-03-06T21:43:00Z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0x01010088D408A0CAD61C47A6D6FF19F2F80155</vt:lpwstr>
  </property>
  <property fmtid="{D5CDD505-2E9C-101B-9397-08002B2CF9AE}" pid="3" name="MediaServiceImageTags">
    <vt:lpwstr/>
  </property>
</Properties>
</file>